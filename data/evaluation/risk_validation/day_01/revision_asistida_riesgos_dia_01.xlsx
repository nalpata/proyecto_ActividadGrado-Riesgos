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tricia Patiño\Downloads\"/>
    </mc:Choice>
  </mc:AlternateContent>
  <xr:revisionPtr revIDLastSave="0" documentId="13_ncr:1_{D79CB81D-8FD3-400C-B1E5-76356F0848C6}" xr6:coauthVersionLast="47" xr6:coauthVersionMax="47" xr10:uidLastSave="{00000000-0000-0000-0000-000000000000}"/>
  <bookViews>
    <workbookView xWindow="-98" yWindow="-98" windowWidth="21795" windowHeight="12975" activeTab="1" xr2:uid="{00000000-000D-0000-FFFF-FFFF00000000}"/>
  </bookViews>
  <sheets>
    <sheet name="Resumen" sheetId="1" r:id="rId1"/>
    <sheet name="Revision" sheetId="2" r:id="rId2"/>
    <sheet name="Taxonomia" sheetId="3" r:id="rId3"/>
    <sheet name="Instruccion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57" i="2" l="1"/>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B15" i="1"/>
  <c r="B13" i="1"/>
  <c r="B17" i="1" l="1"/>
  <c r="B14" i="1"/>
  <c r="B16" i="1"/>
</calcChain>
</file>

<file path=xl/sharedStrings.xml><?xml version="1.0" encoding="utf-8"?>
<sst xmlns="http://schemas.openxmlformats.org/spreadsheetml/2006/main" count="2398" uniqueCount="945">
  <si>
    <t>Día 1 · Diagnóstico de falsos positivos</t>
  </si>
  <si>
    <t>Ejecución actual</t>
  </si>
  <si>
    <t>Valor</t>
  </si>
  <si>
    <t>Baseline histórico de junio</t>
  </si>
  <si>
    <t>Candidatos extraídos</t>
  </si>
  <si>
    <t>Candidatos</t>
  </si>
  <si>
    <t>Chunks procesados</t>
  </si>
  <si>
    <t>Riesgos válidos</t>
  </si>
  <si>
    <t>Errores de API</t>
  </si>
  <si>
    <t>Falsos positivos</t>
  </si>
  <si>
    <t>Coincidencias históricas ≥ 0,90</t>
  </si>
  <si>
    <t>Precisión</t>
  </si>
  <si>
    <t>Coincidencias históricas ≥ 0,80</t>
  </si>
  <si>
    <t>Candidatos nuevos o diferentes</t>
  </si>
  <si>
    <t>Avance de la revisión manual</t>
  </si>
  <si>
    <t>Registros revisados</t>
  </si>
  <si>
    <t>Grupo de revisión</t>
  </si>
  <si>
    <t>Cantidad</t>
  </si>
  <si>
    <t>Pendientes</t>
  </si>
  <si>
    <t>A · Coincidencia alta</t>
  </si>
  <si>
    <t>Válidos</t>
  </si>
  <si>
    <t>B · Coincidencia parcial</t>
  </si>
  <si>
    <t>C · Nuevo o diferente</t>
  </si>
  <si>
    <t>Precisión actual</t>
  </si>
  <si>
    <t>Interpretación: las coincidencias históricas son ayudas para priorizar la revisión. La decisión final debe registrarse manualmente en la hoja Revision. No se debe asumir que una coincidencia implica automáticamente que el riesgo sea válido en esta nueva ejecución.</t>
  </si>
  <si>
    <t>grupo_revision</t>
  </si>
  <si>
    <t>risk_id</t>
  </si>
  <si>
    <t>source_doc_id</t>
  </si>
  <si>
    <t>source_filename</t>
  </si>
  <si>
    <t>source_page</t>
  </si>
  <si>
    <t>source_chunk_id</t>
  </si>
  <si>
    <t>risk_name</t>
  </si>
  <si>
    <t>risk_category</t>
  </si>
  <si>
    <t>severity</t>
  </si>
  <si>
    <t>probability</t>
  </si>
  <si>
    <t>risk_score</t>
  </si>
  <si>
    <t>risk_description</t>
  </si>
  <si>
    <t>evidence</t>
  </si>
  <si>
    <t>recommended_action</t>
  </si>
  <si>
    <t>coincidencia_historica</t>
  </si>
  <si>
    <t>risk_id_historico</t>
  </si>
  <si>
    <t>validez_sugerida</t>
  </si>
  <si>
    <t>confianza_sugerencia</t>
  </si>
  <si>
    <t>tipo_error_sugerido</t>
  </si>
  <si>
    <t>riesgo_valido_manual</t>
  </si>
  <si>
    <t>categoria_correcta_manual</t>
  </si>
  <si>
    <t>tipo_error_manual</t>
  </si>
  <si>
    <t>evidencia_suficiente_manual</t>
  </si>
  <si>
    <t>causa_raiz_manual</t>
  </si>
  <si>
    <t>correccion_requerida_manual</t>
  </si>
  <si>
    <t>comentario_evaluador</t>
  </si>
  <si>
    <t>estado_revision</t>
  </si>
  <si>
    <t>A - Coincidencia histórica alta</t>
  </si>
  <si>
    <t>RISK_0001</t>
  </si>
  <si>
    <t>DOC_005</t>
  </si>
  <si>
    <t>INT_PC_AC_Acta Seguimiento Interventoria_20230621.pdf</t>
  </si>
  <si>
    <t>DOC_005_RCHUNK_001</t>
  </si>
  <si>
    <t>Atraso en entregables</t>
  </si>
  <si>
    <t>Cronograma</t>
  </si>
  <si>
    <t>Media</t>
  </si>
  <si>
    <t>Alta</t>
  </si>
  <si>
    <t>El entregable con mayor número de días de atraso es de 17 días.</t>
  </si>
  <si>
    <t>el entregable con mayor número de días de atraso es de 17 días</t>
  </si>
  <si>
    <t>Implementar un plan de recuperación para los entregables atrasados.</t>
  </si>
  <si>
    <t>REVISAR_MANUALMENTE</t>
  </si>
  <si>
    <t>RISK_0005</t>
  </si>
  <si>
    <t>DOC_005_RCHUNK_003</t>
  </si>
  <si>
    <t>Desviación del cronograma en DataR</t>
  </si>
  <si>
    <t>Atrasos en la fase de habilitación de herramientas que pueden afectar el cronograma del proyecto.</t>
  </si>
  <si>
    <t>la desviación del avance es del 1% debido a las demoras en el cierre de las fases de entendimiento y diseño, habilitación de las herramientas y Diseño de procesos.</t>
  </si>
  <si>
    <t>Monitorear de cerca los entregables en ciclo de revisión y asegurar la entrega a tiempo.</t>
  </si>
  <si>
    <t>RISK_0006</t>
  </si>
  <si>
    <t>Atrasos en entregables de NGSA</t>
  </si>
  <si>
    <t>Atrasos en los entregables asociados al Sprint 1 y 2 del MVP01 que pueden impactar el avance del proyecto.</t>
  </si>
  <si>
    <t>la desviación a la fecha de corte es de 6% resultado del continuo atraso de los entregables asociados al Sprint 1 y 2 del MVP01.</t>
  </si>
  <si>
    <t>Revisar el plan de trabajo y ajustar los recursos para cumplir con los entregables pendientes.</t>
  </si>
  <si>
    <t>RISK_0008</t>
  </si>
  <si>
    <t>DOC_005_RCHUNK_004</t>
  </si>
  <si>
    <t>Incumplimiento de fechas de operación</t>
  </si>
  <si>
    <t>Retraso en la puesta en operación debido a documentos pendientes.</t>
  </si>
  <si>
    <t>Incumplimiento de la fecha de puesta en operación definida, dado que: Existen documentos cuya elaboración depende de la implementación del piloto.</t>
  </si>
  <si>
    <t>Monitorear el avance de la elaboración de documentos y establecer un plan de acción para cumplir con las fechas.</t>
  </si>
  <si>
    <t>RISK_0009</t>
  </si>
  <si>
    <t>Cambio de fecha de finalización del piloto</t>
  </si>
  <si>
    <t>Retraso en la finalización del piloto que afecta la entrada en operación.</t>
  </si>
  <si>
    <t>Cambio de la fecha finalización del piloto (07 de julio de 2023), lo cual traslada la entrada en operación para el 10 de julio de 2023.</t>
  </si>
  <si>
    <t>Revisar el cronograma y ajustar los plazos de entrega para evitar más retrasos.</t>
  </si>
  <si>
    <t>RISK_0011</t>
  </si>
  <si>
    <t>Radicación tardía de pago</t>
  </si>
  <si>
    <t>Financiero</t>
  </si>
  <si>
    <t>Retraso en la radicación del pago que puede afectar la financiación del proyecto.</t>
  </si>
  <si>
    <t>Radicación tardía del pago 2 asociado al Ent03 – Diseño detallado de la solución tecnológica del DataR.</t>
  </si>
  <si>
    <t>Establecer un seguimiento riguroso de los pagos y coordinar con el área financiera para evitar retrasos.</t>
  </si>
  <si>
    <t>RISK_0013</t>
  </si>
  <si>
    <t>DOC_005_RCHUNK_005</t>
  </si>
  <si>
    <t>Retraso en entrega de entregable</t>
  </si>
  <si>
    <t>Posible retraso en la entrega del modelo de operación del DataR.</t>
  </si>
  <si>
    <t>la fecha máxima de entrega de este producto es el 07 de julio de 2023</t>
  </si>
  <si>
    <t>Monitorear el cumplimiento de la fecha de entrega y establecer penalizaciones por retrasos.</t>
  </si>
  <si>
    <t>RISK_0014</t>
  </si>
  <si>
    <t>Falta de información para habilitación de pago</t>
  </si>
  <si>
    <t>Incapacidad para habilitar el pago N°2 debido a la falta de información de parafiscales y seguridad social.</t>
  </si>
  <si>
    <t>Dado que a la fecha no se ha recibido esta información, a pesar de que es un requerimiento que se envía mensualmente</t>
  </si>
  <si>
    <t>Establecer un plazo límite para la entrega de la información requerida y considerar alternativas de pago.</t>
  </si>
  <si>
    <t>RISK_0019</t>
  </si>
  <si>
    <t>DOC_005_RCHUNK_007</t>
  </si>
  <si>
    <t>Falta de cronograma</t>
  </si>
  <si>
    <t>No contar con un cronograma definido para la migración de datos puede afectar la planificación del proyecto.</t>
  </si>
  <si>
    <t>sin embargo, aún no se cuenta con el cronograma.</t>
  </si>
  <si>
    <t>Solicitar la elaboración y entrega inmediata del cronograma de migración de datos.</t>
  </si>
  <si>
    <t>RISK_0020</t>
  </si>
  <si>
    <t>Incumplimiento de migración de datos</t>
  </si>
  <si>
    <t>Contractual</t>
  </si>
  <si>
    <t>El incumplimiento de la obligación contractual de migrar todos los datos antes de la salida en producción puede generar retrasos y problemas en la operación.</t>
  </si>
  <si>
    <t>la interventoría validará si contractualmente se cumple con la indicación de que debe estar todo migrado para salida en producción.</t>
  </si>
  <si>
    <t>Realizar un seguimiento continuo para asegurar que se cumpla con la migración de datos según lo estipulado.</t>
  </si>
  <si>
    <t>RISK_0021</t>
  </si>
  <si>
    <t>Observaciones no atendidas</t>
  </si>
  <si>
    <t>Calidad</t>
  </si>
  <si>
    <t>La falta de atención a las observaciones realizadas en las sesiones de refinamiento puede afectar la calidad de las historias de usuario.</t>
  </si>
  <si>
    <t>se identifica que las observaciones realizadas en estas mesas de trabajo no fueron atendidas en su totalidad.</t>
  </si>
  <si>
    <t>Establecer un plan de acción para atender todas las observaciones y asegurar la calidad de las historias de usuario.</t>
  </si>
  <si>
    <t>RISK_0024</t>
  </si>
  <si>
    <t>DOC_005_RCHUNK_008</t>
  </si>
  <si>
    <t>Incremento en consumos</t>
  </si>
  <si>
    <t>Incremento de 1.2 millones en consumos al cierre del año.</t>
  </si>
  <si>
    <t>Se realizó el análisis de consumos y se evidencia un incremento de 1.2 millones al cierre del año.</t>
  </si>
  <si>
    <t>Realizar un análisis detallado de los consumos y establecer medidas de control financiero.</t>
  </si>
  <si>
    <t>HECHO_CONSUMADO</t>
  </si>
  <si>
    <t>RISK_0025</t>
  </si>
  <si>
    <t>Validación de riesgos digitales</t>
  </si>
  <si>
    <t>Seguridad</t>
  </si>
  <si>
    <t>Necesidad de validación y aprobación de la valoración de riesgos digitales en los activos Multinube.</t>
  </si>
  <si>
    <t>Kyndryl solicita la validación y aprobación por parte de la DIAN de la valoración de riesgos digitales en los activos Multinube.</t>
  </si>
  <si>
    <t>Acelerar el proceso de validación y aprobación de los riesgos digitales identificados.</t>
  </si>
  <si>
    <t>RISK_0026</t>
  </si>
  <si>
    <t>DOC_005_RCHUNK_009</t>
  </si>
  <si>
    <t>Atraso en informes mensuales</t>
  </si>
  <si>
    <t>Retraso en la entrega de informes mensuales puede afectar la planificación del proyecto.</t>
  </si>
  <si>
    <t>Atraso en el envío de los informes mensuales de operación y gestión.</t>
  </si>
  <si>
    <t>Establecer un cronograma más riguroso para la entrega de informes y realizar seguimiento constante.</t>
  </si>
  <si>
    <t>RISK_0028</t>
  </si>
  <si>
    <t>DOC_005_RCHUNK_010</t>
  </si>
  <si>
    <t>Configuración incorrecta de reglas de negocio</t>
  </si>
  <si>
    <t>Riesgo de que la configuración de las reglas de negocio vaya en contra de las buenas prácticas.</t>
  </si>
  <si>
    <t>Revisar si la configuración de las reglas de negocio solicitadas por la DIAN va en contra de las buenas prácticas de la implementación del SandBox.</t>
  </si>
  <si>
    <t>Evaluar las reglas de negocio propuestas y compararlas con las mejores prácticas del sector.</t>
  </si>
  <si>
    <t>RISK_0029</t>
  </si>
  <si>
    <t>Falta de información para facturación</t>
  </si>
  <si>
    <t>Riesgo de no poder realizar la facturación debido a la falta de información de parafiscales.</t>
  </si>
  <si>
    <t>No se realizó porque el consultor no hizo llegar la información de parafiscales solicitada por la interventoría.</t>
  </si>
  <si>
    <t>Establecer un proceso de seguimiento para asegurar la entrega oportuna de la información necesaria para la facturación.</t>
  </si>
  <si>
    <t>RISK_0030</t>
  </si>
  <si>
    <t>DOC_005_RCHUNK_011</t>
  </si>
  <si>
    <t>Acceso a Devops</t>
  </si>
  <si>
    <t>Operación</t>
  </si>
  <si>
    <t>Riesgo de no obtener acceso a Devops, lo que puede afectar el seguimiento del proyecto.</t>
  </si>
  <si>
    <t>Escalar a Kyndryl la solicitud de acceso a Devops de la Interventoría del proyecto DATAR</t>
  </si>
  <si>
    <t>Asegurar el seguimiento continuo de la solicitud de acceso y establecer un plan de contingencia.</t>
  </si>
  <si>
    <t>COMPROMISO_NORMAL</t>
  </si>
  <si>
    <t>RISK_0036</t>
  </si>
  <si>
    <t>DOC_005_RCHUNK_012</t>
  </si>
  <si>
    <t>Acceso limitado a ambiente de desarrollo</t>
  </si>
  <si>
    <t>Riesgo de no tener acceso al ambiente de desarrollo, lo que puede afectar el progreso del proyecto.</t>
  </si>
  <si>
    <t>Generar comunicado desde la interventoría solicitando acceso a ambiente de desarrollo DataR.</t>
  </si>
  <si>
    <t>Asegurar que se realice el seguimiento adecuado para obtener el acceso necesario lo antes posible.</t>
  </si>
  <si>
    <t>RISK_0037</t>
  </si>
  <si>
    <t>RISK_0039</t>
  </si>
  <si>
    <t>DOC_007</t>
  </si>
  <si>
    <t>INT_PC_AC_Acta Seguimiento Interventoria_20250902_.pdf</t>
  </si>
  <si>
    <t>DOC_007_RCHUNK_002</t>
  </si>
  <si>
    <t>Vulnerabilidades no resueltas</t>
  </si>
  <si>
    <t>La necesidad de solicitar más evidencias sobre las vulnerabilidades puede indicar que no se han resuelto adecuadamente.</t>
  </si>
  <si>
    <t>la Interventoría, el 28/08/2025, solicitó más evidencias sobre las vulnerabilidades.</t>
  </si>
  <si>
    <t>Asegurar que se realicen pruebas exhaustivas y se cierren todas las vulnerabilidades antes de la operación en producción.</t>
  </si>
  <si>
    <t>RISK_0040</t>
  </si>
  <si>
    <t>RISK_0048</t>
  </si>
  <si>
    <t>DOC_007_RCHUNK_006</t>
  </si>
  <si>
    <t>Pendiente de validación del despliegue</t>
  </si>
  <si>
    <t>Despliegues</t>
  </si>
  <si>
    <t>Retrasos en la validación del despliegue a preproductivo pueden afectar el cronograma del proyecto.</t>
  </si>
  <si>
    <t>Pendiente: validación del despliegue a preproductivo DIAN e Interventoría.</t>
  </si>
  <si>
    <t>Acelerar la coordinación con DIAN e Interventoría para la validación del despliegue.</t>
  </si>
  <si>
    <t>RISK_0049</t>
  </si>
  <si>
    <t>Incidentes en la ingesta de datos</t>
  </si>
  <si>
    <t>Problemas en la ingesta de datos históricos pueden comprometer la calidad de la información.</t>
  </si>
  <si>
    <t>Pendiente: Revisar los incidentes relacionados con la ingesta histórica de datos.</t>
  </si>
  <si>
    <t>Realizar un análisis exhaustivo de los incidentes y establecer un plan de acción para resolverlos.</t>
  </si>
  <si>
    <t>RISK_0051</t>
  </si>
  <si>
    <t>DOC_007_RCHUNK_007</t>
  </si>
  <si>
    <t>Falta de facturación</t>
  </si>
  <si>
    <t>Falta de facturación en un mes específico que puede afectar el flujo de caja.</t>
  </si>
  <si>
    <t>Falta facturación en septiembre.</t>
  </si>
  <si>
    <t>Realizar seguimiento a la facturación pendiente y establecer un plan para su recuperación.</t>
  </si>
  <si>
    <t>RISK_0052</t>
  </si>
  <si>
    <t>EVIDENCIA_INSUFICIENTE</t>
  </si>
  <si>
    <t>Falta de firma de informe</t>
  </si>
  <si>
    <t>Gobierno del Proyecto</t>
  </si>
  <si>
    <t>Retraso en la firma de informes que puede afectar la continuidad del proyecto.</t>
  </si>
  <si>
    <t>Falta firma de informe de actividades por parte de DIAN.</t>
  </si>
  <si>
    <t>Coordinar con DIAN para obtener la firma del informe de actividades lo antes posible.</t>
  </si>
  <si>
    <t>RISK_0053</t>
  </si>
  <si>
    <t>RISK_0059</t>
  </si>
  <si>
    <t>DOC_007_RCHUNK_008</t>
  </si>
  <si>
    <t>Vulnerabilidades no abordadas</t>
  </si>
  <si>
    <t>Riesgo de que las vulnerabilidades identificadas no sean adecuadamente abordadas.</t>
  </si>
  <si>
    <t>Informe prueba de penetración Pen-test: Se propone sesión para el 3/09/2025 con el fin de revisar el alcance y riesgos de la ejecución de las actividades.</t>
  </si>
  <si>
    <t>Realizar la sesión propuesta y asegurar que se implementen las recomendaciones del Pen-test.</t>
  </si>
  <si>
    <t>RISK_0062</t>
  </si>
  <si>
    <t>DOC_007_RCHUNK_010</t>
  </si>
  <si>
    <t>Retraso en la facturación</t>
  </si>
  <si>
    <t>Posible retraso en el proceso de facturación de los informes de operación.</t>
  </si>
  <si>
    <t>Se espera el proceso de facturación de los informes de operación de julio de 2025 en el mes de septiembre de 2025.</t>
  </si>
  <si>
    <t>Monitorear el avance del proceso de facturación y establecer un cronograma claro.</t>
  </si>
  <si>
    <t>RISK_0064</t>
  </si>
  <si>
    <t>Revisión de cambios solicitados</t>
  </si>
  <si>
    <t>Revisión pendiente de la solicitud de cambio que puede afectar el avance del proyecto.</t>
  </si>
  <si>
    <t>La DIAN solicita a la Interventoría revisar lo sucedido con la solicitud de cambio CHG0030852.</t>
  </si>
  <si>
    <t>Realizar un seguimiento proactivo a la revisión de cambios solicitados para evitar impactos en el cronograma.</t>
  </si>
  <si>
    <t>RISK_0069</t>
  </si>
  <si>
    <t>DOC_007_RCHUNK_012</t>
  </si>
  <si>
    <t>Replicación de BD no recomendada</t>
  </si>
  <si>
    <t>La solución de replicar una parte de la BD Cosmos no corresponde con las mejores prácticas.</t>
  </si>
  <si>
    <t>el arquitecto de Microsoft considera que la solución de replicar una parte de la Cosmos no corresponde con las mejores prácticas y recomendó a la DIAN evaluar la decisión considerando los riesgos que esto implica.</t>
  </si>
  <si>
    <t>Evaluar alternativas de replicación que cumplan con las mejores prácticas.</t>
  </si>
  <si>
    <t>RISK_0074</t>
  </si>
  <si>
    <t>DOC_007_RCHUNK_013</t>
  </si>
  <si>
    <t>Descuento no confirmado</t>
  </si>
  <si>
    <t>Se espera la confirmación sobre la aplicación del descuento del 11% a partir de julio de 2025.</t>
  </si>
  <si>
    <t>Aún se espera la confirmación sobre la aplicación del descuento del 11% a partir de julio de 2025.</t>
  </si>
  <si>
    <t>Realizar seguimiento inmediato para obtener la confirmación del descuento.</t>
  </si>
  <si>
    <t>RISK_0075</t>
  </si>
  <si>
    <t>RISK_0076</t>
  </si>
  <si>
    <t>DOC_007_RCHUNK_014</t>
  </si>
  <si>
    <t>Consumo elevado de nube secundaria</t>
  </si>
  <si>
    <t>El consumo de la nube secundaria es del 76,66% respecto al valor aprovisionado, lo que puede indicar un riesgo financiero por sobrecostos.</t>
  </si>
  <si>
    <t>reporta un consumo de la nube secundaria del 76,66% con respecto al valor aprovisionado</t>
  </si>
  <si>
    <t>Monitorear el consumo de recursos y ajustar el presupuesto si es necesario.</t>
  </si>
  <si>
    <t>RISK_0077</t>
  </si>
  <si>
    <t>RISK_0083</t>
  </si>
  <si>
    <t>DOC_008</t>
  </si>
  <si>
    <t>INT_PC_AC_Acta Seguimiento Interventoria_20250812.pdf</t>
  </si>
  <si>
    <t>DOC_008_RCHUNK_002</t>
  </si>
  <si>
    <t>Pendiente VoBo y firma de acta</t>
  </si>
  <si>
    <t>Riesgo de retraso en el cierre del proyecto debido a la falta de aprobación y firma de acta.</t>
  </si>
  <si>
    <t>Pendiente VoBo y firma de acta sobre cierre y no continuación REQ012.</t>
  </si>
  <si>
    <t>Acelerar el proceso de aprobación y firma del acta para evitar retrasos.</t>
  </si>
  <si>
    <t>RISK_0084</t>
  </si>
  <si>
    <t>RISK_0091</t>
  </si>
  <si>
    <t>DOC_008_RCHUNK_005</t>
  </si>
  <si>
    <t>Evaluación contractual</t>
  </si>
  <si>
    <t>Necesidad de evaluar alternativas contractuales en caso de extensión de la contingencia.</t>
  </si>
  <si>
    <t>De igual manera, se debe evaluar contractualmente las alternativas que se tendrían y evaluar un panorama crítico en caso de que la contingencia se extienda hasta octubre.</t>
  </si>
  <si>
    <t>Revisar el contrato con el Consorcio para identificar cláusulas que aborden contingencias y planificar acciones.</t>
  </si>
  <si>
    <t>RISK_0092</t>
  </si>
  <si>
    <t>RISK_0097</t>
  </si>
  <si>
    <t>DOC_008_RCHUNK_008</t>
  </si>
  <si>
    <t>Pendiente de firma y revisión de acta</t>
  </si>
  <si>
    <t>Retrasos en la firma y revisión de actas pueden afectar el cierre de requerimientos.</t>
  </si>
  <si>
    <t>Pendiente: firma y revisión de acta (Consorcio) y cierre del REQ en Service Now.</t>
  </si>
  <si>
    <t>Acelerar el proceso de firma y revisión de actas para evitar retrasos.</t>
  </si>
  <si>
    <t>RISK_0098</t>
  </si>
  <si>
    <t>Descuento de horas no definido</t>
  </si>
  <si>
    <t>La falta de claridad sobre el descuento de horas puede llevar a un uso ineficiente de recursos.</t>
  </si>
  <si>
    <t>La Interventoría, se recomienda que se evalúe dónde se debe realizar el descuento de las horas que se iban a usar inicialmente para el REQ012.</t>
  </si>
  <si>
    <t>Definir claramente el uso de horas disponibles y su asignación a los requerimientos.</t>
  </si>
  <si>
    <t>RISK_0099</t>
  </si>
  <si>
    <t>ACCION_CORRECTIVA</t>
  </si>
  <si>
    <t>RISK_0101</t>
  </si>
  <si>
    <t>DOC_008_RCHUNK_009</t>
  </si>
  <si>
    <t>Validación de datos pendiente</t>
  </si>
  <si>
    <t>Riesgo asociado a la validación de datos en preproducción que puede afectar la calidad del proyecto.</t>
  </si>
  <si>
    <t>Fecha de cierre del incidente pendiente (Validación de datos en preproducción)</t>
  </si>
  <si>
    <t>Acelerar el proceso de validación de datos y establecer un seguimiento regular.</t>
  </si>
  <si>
    <t>RISK_0102</t>
  </si>
  <si>
    <t>Ajustes de formato pendientes</t>
  </si>
  <si>
    <t>Riesgo relacionado con los ajustes de formato que pueden retrasar la aprobación en el comité de cambios.</t>
  </si>
  <si>
    <t>Fecha de cierre del incidente pendiente (Ajustes de formato de pruebas y formato 2180 para paso a comité de cambios)</t>
  </si>
  <si>
    <t>Priorizar la finalización de los ajustes de formato y coordinar con el comité de cambios.</t>
  </si>
  <si>
    <t>RISK_0103</t>
  </si>
  <si>
    <t>DOC_008_RCHUNK_010</t>
  </si>
  <si>
    <t>Falta de aprobación de informes</t>
  </si>
  <si>
    <t>Retrasos en la aprobación de informes pueden afectar el avance del proyecto.</t>
  </si>
  <si>
    <t>Falta aprobación del informe de actividades</t>
  </si>
  <si>
    <t>Establecer un cronograma claro para la aprobación de informes y realizar seguimiento constante.</t>
  </si>
  <si>
    <t>RISK_0104</t>
  </si>
  <si>
    <t>RISK_0109</t>
  </si>
  <si>
    <t>DOC_008_RCHUNK_012</t>
  </si>
  <si>
    <t>Duplicados en pruebas UAT</t>
  </si>
  <si>
    <t>Identificación de la causa raíz de duplicados en las tablas durante las pruebas UAT.</t>
  </si>
  <si>
    <t>Se solicita información sobre las tablas que presentaron duplicados durante las pruebas UAT incluyendo la cantidad de registros afectados.</t>
  </si>
  <si>
    <t>Realizar un análisis detallado para identificar y corregir la causa raíz de los duplicados.</t>
  </si>
  <si>
    <t>RISK_0110</t>
  </si>
  <si>
    <t>RISK_0119</t>
  </si>
  <si>
    <t>DOC_008_RCHUNK_015</t>
  </si>
  <si>
    <t>Estimación de costos pendiente</t>
  </si>
  <si>
    <t>Falta de estimación de costos para la replicación de bases de datos que puede afectar el presupuesto.</t>
  </si>
  <si>
    <t>está pendiente la estimación de costos para esta replicación.</t>
  </si>
  <si>
    <t>Priorizar la estimación de costos y ajustar el presupuesto según sea necesario.</t>
  </si>
  <si>
    <t>RISK_0120</t>
  </si>
  <si>
    <t>Aprobación de informes pendiente</t>
  </si>
  <si>
    <t>Baja</t>
  </si>
  <si>
    <t>Retraso en la aprobación de informes mensuales que puede afectar la visibilidad del proyecto.</t>
  </si>
  <si>
    <t>está pendiente la aprobación por parte de la interventoría.</t>
  </si>
  <si>
    <t>Establecer un proceso claro para la revisión y aprobación de informes.</t>
  </si>
  <si>
    <t>RISK_0121</t>
  </si>
  <si>
    <t>Revisión de matriz RACI pendiente</t>
  </si>
  <si>
    <t>Falta de revisión de la matriz RACI de Azure Sentinel que puede afectar la gestión de seguridad.</t>
  </si>
  <si>
    <t>sigue pendiente la revisión de la matriz RACI de Azure Sentinel por parte del director de la OSI.</t>
  </si>
  <si>
    <t>Acelerar la revisión de la matriz RACI y asegurar su implementación.</t>
  </si>
  <si>
    <t>RISK_0122</t>
  </si>
  <si>
    <t>RISK_0123</t>
  </si>
  <si>
    <t>DOC_008_RCHUNK_017</t>
  </si>
  <si>
    <t>Descuento pendiente</t>
  </si>
  <si>
    <t>Riesgo asociado a la falta de confirmación del descuento del 11% en el aprovisionamiento.</t>
  </si>
  <si>
    <t>está pendiente la confirmación de la aplicación del descuento del 11% a partir de julio de 2025</t>
  </si>
  <si>
    <t>Solicitar confirmación del descuento a la parte responsable lo antes posible.</t>
  </si>
  <si>
    <t>RISK_0124</t>
  </si>
  <si>
    <t>Aprovisionamiento no confirmado</t>
  </si>
  <si>
    <t>Riesgo relacionado con la falta de confirmación del aprovisionamiento de USD 4,280.</t>
  </si>
  <si>
    <t>la confirmación del aprovisionamiento de USD 4,280 está pendiente</t>
  </si>
  <si>
    <t>Realizar seguimiento inmediato para obtener la confirmación del aprovisionamiento.</t>
  </si>
  <si>
    <t>RISK_0125</t>
  </si>
  <si>
    <t>RISK_0127</t>
  </si>
  <si>
    <t>DOC_008_RCHUNK_019</t>
  </si>
  <si>
    <t>Aprobación pendiente de la DIAN</t>
  </si>
  <si>
    <t>Retrasos en la aprobación de fechas propuestas por la DIAN pueden afectar el cronograma del proyecto.</t>
  </si>
  <si>
    <t>estamos pendientes de la aprobación de la DIAN de las fechas propuestas para la actualización.</t>
  </si>
  <si>
    <t>Establecer un seguimiento regular con la DIAN para asegurar la aprobación o identificar posibles retrasos.</t>
  </si>
  <si>
    <t>RISK_0128</t>
  </si>
  <si>
    <t>RISK_0140</t>
  </si>
  <si>
    <t>DOC_009</t>
  </si>
  <si>
    <t>INT_PC_AC_Acta Seguimiento Ejecutivo_20250829.pdf</t>
  </si>
  <si>
    <t>DOC_009_RCHUNK_006</t>
  </si>
  <si>
    <t>Riesgo de continuidad del proyecto</t>
  </si>
  <si>
    <t>Necesidad de un nuevo proceso de contratación para dar continuidad al proyecto de DataR.</t>
  </si>
  <si>
    <t>se debe adelantar un nuevo proceso de contratación para dar continuidad al proyecto de DataR.</t>
  </si>
  <si>
    <t>Iniciar el proceso de contratación de inmediato para evitar interrupciones en el proyecto.</t>
  </si>
  <si>
    <t>RISK_0141</t>
  </si>
  <si>
    <t>RISK_0142</t>
  </si>
  <si>
    <t>DOC_009_RCHUNK_007</t>
  </si>
  <si>
    <t>Prórroga de servicios</t>
  </si>
  <si>
    <t>Posible necesidad de prorrogar los servicios de la Multinube Híbrida.</t>
  </si>
  <si>
    <t>se está tramitando un posible modificatorio que incluye servicios adicionales y una prórroga de los servicios hasta julio de 2026.</t>
  </si>
  <si>
    <t>Acelerar las negociaciones con el proveedor actual para asegurar la continuidad del servicio.</t>
  </si>
  <si>
    <t>RISK_0143</t>
  </si>
  <si>
    <t>RISK_0148</t>
  </si>
  <si>
    <t>DOC_009_RCHUNK_009</t>
  </si>
  <si>
    <t>Prórroga del contrato</t>
  </si>
  <si>
    <t>Posible necesidad de prórroga del contrato de Multinube L1 que podría afectar la continuidad del servicio.</t>
  </si>
  <si>
    <t>En caso de aplicar una posible prórroga al contrato de Multinube L1, adelantar la negociación.</t>
  </si>
  <si>
    <t>Iniciar negociaciones anticipadas para la prórroga del contrato y asegurar la continuidad del servicio.</t>
  </si>
  <si>
    <t>RISK_0149</t>
  </si>
  <si>
    <t>RISK_0063</t>
  </si>
  <si>
    <t>Dependencia de informes para pagos</t>
  </si>
  <si>
    <t>El pago por concepto de operación y gestión depende de la entrega de informes detallados.</t>
  </si>
  <si>
    <t>Para dar viabilidad al pago por concepto de la operación y gestión de julio de 2025 es necesario contar con el informe detallado.</t>
  </si>
  <si>
    <t>Asegurar la entrega oportuna de los informes requeridos para evitar retrasos en los pagos.</t>
  </si>
  <si>
    <t>RISK_0067</t>
  </si>
  <si>
    <t>DOC_007_RCHUNK_011</t>
  </si>
  <si>
    <t>Acceso público no restringido a cuentas de almacenamiento</t>
  </si>
  <si>
    <t>El acceso público a las cuentas de almacenamiento puede comprometer la seguridad de la información.</t>
  </si>
  <si>
    <t>se espera una reunión con COEM y Ciclic para determinar la estrategia para poder restringir el acceso público a las cuentas de almacenamiento.</t>
  </si>
  <si>
    <t>Definir y ejecutar una estrategia de restricción de acceso a las cuentas de almacenamiento.</t>
  </si>
  <si>
    <t>Vulnerabilidades no identificadas</t>
  </si>
  <si>
    <t>Riesgo de que las vulnerabilidades no sean identificadas a tiempo, afectando la seguridad del sistema.</t>
  </si>
  <si>
    <t>Realizar sesión con el equipo DIAN DataR para acordar las fechas de entrega de los informes de vulnerabilidades y pruebas de penetración.</t>
  </si>
  <si>
    <t>Asegurar que se realicen pruebas de penetración y auditorías de seguridad de manera regular.</t>
  </si>
  <si>
    <t>RISK_0038</t>
  </si>
  <si>
    <t>RISK_0114</t>
  </si>
  <si>
    <t>DOC_008_RCHUNK_014</t>
  </si>
  <si>
    <t>Pruebas en ambiente de test no finalizadas</t>
  </si>
  <si>
    <t>La finalización de las pruebas en ambiente de test está pendiente, lo que puede afectar la calidad y la integración del sistema.</t>
  </si>
  <si>
    <t>está pendiente la finalización de las pruebas en ambiente de test y corrección de incidentes en la integración con Muisca.</t>
  </si>
  <si>
    <t>Priorizar la finalización de las pruebas y la corrección de incidentes antes de avanzar a producción.</t>
  </si>
  <si>
    <t>RISK_0115</t>
  </si>
  <si>
    <t>RISK_0113</t>
  </si>
  <si>
    <t>Definición de arquitectura pendiente</t>
  </si>
  <si>
    <t>La falta de presentación del diseño final de la arquitectura puede generar problemas en la implementación.</t>
  </si>
  <si>
    <t>está pendiente la presentación del diseño final de la arquitectura.</t>
  </si>
  <si>
    <t>Programar una fecha límite para la presentación del diseño final y asegurar su revisión.</t>
  </si>
  <si>
    <t>Modificación contractual solicitada</t>
  </si>
  <si>
    <t>La solicitud de modificación contractual por parte de la DIAN puede generar incertidumbre en el cumplimiento de los términos del contrato.</t>
  </si>
  <si>
    <t>DIAN presentó una solicitud de modificación contractual a la UCP el 29/08/2025.</t>
  </si>
  <si>
    <t>Evaluar la solicitud de modificación y sus implicaciones en el contrato actual.</t>
  </si>
  <si>
    <t>RISK_0078</t>
  </si>
  <si>
    <t>RISK_0015</t>
  </si>
  <si>
    <t>DOC_005_RCHUNK_006</t>
  </si>
  <si>
    <t>Atraso en la ejecución del proyecto</t>
  </si>
  <si>
    <t>El proyecto presenta un avance inferior al esperado, lo que indica un riesgo de atraso significativo.</t>
  </si>
  <si>
    <t>un avance de ejecución del 22% real Vs. un esperado del 28%, para una desviación del 6%</t>
  </si>
  <si>
    <t>Implementar un plan de acción para recuperar el tiempo perdido y ajustar el cronograma.</t>
  </si>
  <si>
    <t>RISK_0068</t>
  </si>
  <si>
    <t>Incertidumbre sobre el alcance del servicio de Observabilidad</t>
  </si>
  <si>
    <t>La inclusión del servicio de Observabilidad como adicional al contrato puede generar confusiones sobre el alcance del proyecto.</t>
  </si>
  <si>
    <t>el servicio de Observabilidad, que se estaría incluyendo como un adicional al contrato, podría estar incluido en el alcance actual.</t>
  </si>
  <si>
    <t>Revisar y clarificar el alcance del contrato con la Interventoría.</t>
  </si>
  <si>
    <t>RISK_0032</t>
  </si>
  <si>
    <t>Valores financieros inconsistentes</t>
  </si>
  <si>
    <t>Riesgo de que los valores de las gráficas del capítulo financiero no sean consistentes, lo que puede afectar la toma de decisiones.</t>
  </si>
  <si>
    <t>Unificar los valores de las gráficas del capítulo financiero del informe de seguimiento semanal de la Interventoría.</t>
  </si>
  <si>
    <t>Realizar una revisión exhaustiva de los datos financieros antes de la presentación del informe.</t>
  </si>
  <si>
    <t>B - Coincidencia histórica parcial</t>
  </si>
  <si>
    <t>RISK_0112</t>
  </si>
  <si>
    <t>Ajustes en errores no finalizados</t>
  </si>
  <si>
    <t>Los ajustes en los errores identificados están en proceso, lo que puede afectar la calidad del producto final.</t>
  </si>
  <si>
    <t>se están realizando ajustes en los errores identificados durante el proceso de tipificación de errores, con la colaboración de Kyndryl.</t>
  </si>
  <si>
    <t>Asegurar que se realicen pruebas exhaustivas una vez que se completen los ajustes.</t>
  </si>
  <si>
    <t>Pendiente envío de informe</t>
  </si>
  <si>
    <t>Retraso en el envío de informes firmados que puede afectar la gestión del proyecto.</t>
  </si>
  <si>
    <t>Pendiente envío con firma de informe de actividades por parte del Consorcio.</t>
  </si>
  <si>
    <t>Establecer un cronograma para el envío de informes firmados y hacer seguimiento.</t>
  </si>
  <si>
    <t>RISK_0010</t>
  </si>
  <si>
    <t>Propuesta de cierre de entregable posterior a la operación</t>
  </si>
  <si>
    <t>El cierre del entregable se propone para una fecha posterior a la puesta en operación.</t>
  </si>
  <si>
    <t>Propuesta del Consorcio del cierre del entregable 31-Modelo de operación del DataR para el 12 de julio de 2023, fecha posterior a la puesta en operación prevista.</t>
  </si>
  <si>
    <t>Asegurar que los entregables se cierren antes de la fecha de operación para evitar problemas operativos.</t>
  </si>
  <si>
    <t>RISK_0002</t>
  </si>
  <si>
    <t>DOC_005_RCHUNK_002</t>
  </si>
  <si>
    <t>Desviación del cronograma</t>
  </si>
  <si>
    <t>Posible desviación del cronograma debido a la extensión de tiempos para la validación de entregables.</t>
  </si>
  <si>
    <t>la Interventoría indica que el control de cambios que estaba comprometido para el jueves 22 de junio 2023 se extenderá un tiempo adicional</t>
  </si>
  <si>
    <t>Monitorear el avance del cronograma y ajustar los plazos según sea necesario.</t>
  </si>
  <si>
    <t>RISK_0004</t>
  </si>
  <si>
    <t>RISK_0054</t>
  </si>
  <si>
    <t>Ajuste de informe de actividades</t>
  </si>
  <si>
    <t>Ajustes en el informe de actividades que pueden afectar la calidad de la información presentada.</t>
  </si>
  <si>
    <t>En ajuste de informe de actividades por parte del Consorcio.</t>
  </si>
  <si>
    <t>Revisar los ajustes realizados y asegurar que cumplan con los estándares de calidad requeridos.</t>
  </si>
  <si>
    <t>C - Candidato nuevo o diferente</t>
  </si>
  <si>
    <t>Colchón de horas no utilizado</t>
  </si>
  <si>
    <t>El colchón de horas podría no ser utilizado adecuadamente, afectando costos y tiempos.</t>
  </si>
  <si>
    <t>la Interventoría menciona realizar una sesión con el Consorcio para validar una reestimación de estos dos requerimientos ya que se tiene un 'colchón de horas' relacionado al REQ012.</t>
  </si>
  <si>
    <t>Realizar sesiones periódicas para revisar la utilización del colchón de horas y su impacto en el cronograma.</t>
  </si>
  <si>
    <t>RISK_0100</t>
  </si>
  <si>
    <t>Incidente de validación pendiente</t>
  </si>
  <si>
    <t>La validación del proceso de ingesta diaria está pendiente, lo que puede afectar la operación.</t>
  </si>
  <si>
    <t>Incidente INC0014853: Validación del proceso de ingesta diaria por parte de Consorcio.</t>
  </si>
  <si>
    <t>Priorizar la validación del proceso de ingesta diaria para asegurar la continuidad operativa.</t>
  </si>
  <si>
    <t>RISK_0079</t>
  </si>
  <si>
    <t>Revisión de solicitud de cambio pendiente</t>
  </si>
  <si>
    <t>La revisión de la solicitud de cambio CHG0030852 puede retrasar el cronograma del proyecto si no se resuelve a tiempo.</t>
  </si>
  <si>
    <t>Revisar lo sucedido con la solicitud de cambio CHG0030852 el 30/08/2025 para el componente de comunicaciones.</t>
  </si>
  <si>
    <t>Acelerar la revisión de la solicitud de cambio para evitar retrasos en el cronograma.</t>
  </si>
  <si>
    <t>RISK_0139</t>
  </si>
  <si>
    <t>Riesgo de ejecución de requerimientos</t>
  </si>
  <si>
    <t>Posibles atrasos en la ejecución de los requerimientos por demanda.</t>
  </si>
  <si>
    <t>se están realizando mesas ejecutivas semanales con el Consorcio para evitar posibles atrasos que pongan en riesgo la fecha de finalización de los requerimientos.</t>
  </si>
  <si>
    <t>Continuar con las mesas ejecutivas y monitorear el avance de los requerimientos.</t>
  </si>
  <si>
    <t>RISK_0117</t>
  </si>
  <si>
    <t>Proyecto suspendido</t>
  </si>
  <si>
    <t>Suspensión del proyecto DIAN + Kyndryl ARO que puede afectar el avance general.</t>
  </si>
  <si>
    <t>Actualmente este proyecto está suspendido.</t>
  </si>
  <si>
    <t>Revisar las causas de la suspensión y establecer un plan de acción para reactivarlo.</t>
  </si>
  <si>
    <t>Riesgo de ejecución presupuestal</t>
  </si>
  <si>
    <t>Posible aumento en la ejecución presupuestal del contrato que podría no ser suficiente.</t>
  </si>
  <si>
    <t>Se espera que pare el mes de septiembre de 2025 la ejecución presupuestal del contrato aumente.</t>
  </si>
  <si>
    <t>Monitorear la ejecución presupuestal y ajustar el presupuesto si es necesario.</t>
  </si>
  <si>
    <t>RISK_0111</t>
  </si>
  <si>
    <t>Retraso en respuesta de DIAN</t>
  </si>
  <si>
    <t>Posible retraso en la respuesta o plan de acción de DIAN que puede afectar el cronograma del proyecto.</t>
  </si>
  <si>
    <t>se espera una respuesta o un plan de acción para la configuración de los Health Check de las aplicaciones que Kyndryl ha reportado.</t>
  </si>
  <si>
    <t>Establecer un seguimiento regular con DIAN para asegurar la pronta respuesta.</t>
  </si>
  <si>
    <t>RISK_0018</t>
  </si>
  <si>
    <t>Falta de claridad en el alcance del proyecto</t>
  </si>
  <si>
    <t>La falta de claridad en el alcance del proyecto puede llevar a malentendidos y a actividades no cubiertas contractualmente.</t>
  </si>
  <si>
    <t>la consultora líder de integración solicita a la Interventoría que se haga la revisión del alcance del proyecto NSGA.</t>
  </si>
  <si>
    <t>Realizar una revisión exhaustiva del alcance del proyecto y documentar cualquier actividad no cubierta.</t>
  </si>
  <si>
    <t>Bajo consumo de recursos en la nube</t>
  </si>
  <si>
    <t>Bajo consumo de la nube de AWS que podría implicar no ejecutar la totalidad de los recursos.</t>
  </si>
  <si>
    <t>el bajo consumo de la nube de AWS, que podría implicar no ejecutar la totalidad de los recursos.</t>
  </si>
  <si>
    <t>Evaluar el uso de recursos en la nube y ajustar la estrategia de consumo.</t>
  </si>
  <si>
    <t>Deadlocks en Dynamics 365</t>
  </si>
  <si>
    <t>Los deadlocks en el servicio de Dynamics 365 pueden causar interrupciones en el servicio.</t>
  </si>
  <si>
    <t>Pendiente realizar una mesa de trabajo para revisar los Deadlocks en el servicio de Dynamics 365, relacionado con el incidente del 27 de mayo.</t>
  </si>
  <si>
    <t>Organizar la mesa de trabajo lo antes posible para abordar y resolver los deadlocks.</t>
  </si>
  <si>
    <t>RISK_0073</t>
  </si>
  <si>
    <t>Falta de comunicación</t>
  </si>
  <si>
    <t>No se enviaron conceptos o comunicados en la semana del 25 al 29 de agosto de 2025.</t>
  </si>
  <si>
    <t>Establecer un protocolo de comunicación regular para asegurar el envío de conceptos y comunicados.</t>
  </si>
  <si>
    <t>RISK_0055</t>
  </si>
  <si>
    <t>Revisión de entregables</t>
  </si>
  <si>
    <t>Retrasos en la revisión de entregables que pueden afectar el avance del proyecto.</t>
  </si>
  <si>
    <t>En revisión de entregables 42 y 43 por parte de Consorcio.</t>
  </si>
  <si>
    <t>Acelerar el proceso de revisión de entregables para evitar retrasos en el cronograma del proyecto.</t>
  </si>
  <si>
    <t>RISK_0050</t>
  </si>
  <si>
    <t>Falla en ejecución del pipeline</t>
  </si>
  <si>
    <t>Error en la cadena de conexión que afecta la ejecución del pipeline.</t>
  </si>
  <si>
    <t>Falla en la ejecución del pipeline por error en la cadena de conexión modificada para la base de datos SIGMA.</t>
  </si>
  <si>
    <t>Revisar y corregir la cadena de conexión para asegurar la correcta ejecución del pipeline.</t>
  </si>
  <si>
    <t>RISK_0070</t>
  </si>
  <si>
    <t>Falta de implementación de herramientas de seguridad</t>
  </si>
  <si>
    <t>No se implementan las herramientas de seguridad, lo que podría afectar el pago al proveedor.</t>
  </si>
  <si>
    <t>de no implementarse las herramientas de seguridad, no se podría realizar el pago del hito correspondiente al proveedor.</t>
  </si>
  <si>
    <t>Acelerar la implementación de las herramientas de seguridad necesarias.</t>
  </si>
  <si>
    <t>RISK_0072</t>
  </si>
  <si>
    <t>RISK_0116</t>
  </si>
  <si>
    <t>Pendiente entrega de hoja de ruta</t>
  </si>
  <si>
    <t>Retraso en la entrega de la hoja de ruta y fecha de inicio del proyecto.</t>
  </si>
  <si>
    <t>pendiente entrega de la hoja de ruta y fecha de inicio del proyecto.</t>
  </si>
  <si>
    <t>Solicitar un cronograma actualizado y establecer fechas límite claras para la entrega.</t>
  </si>
  <si>
    <t>RISK_0047</t>
  </si>
  <si>
    <t>Falla en la ejecución del pipeline</t>
  </si>
  <si>
    <t>Posible interrupción en el proceso de ingesta de datos debido a un error en la cadena de conexión.</t>
  </si>
  <si>
    <t>Incidente INC0014853: Falla en la ejecución del pipeline por error en la cadena de conexión modificada para la base de datos SIGMA.</t>
  </si>
  <si>
    <t>Revisar y corregir la cadena de conexión para evitar fallas en la ejecución del pipeline.</t>
  </si>
  <si>
    <t>RISK_0027</t>
  </si>
  <si>
    <t>Desviación de horas</t>
  </si>
  <si>
    <t>Riesgo de desviación en la cantidad de horas debido a mala especificación de requerimientos.</t>
  </si>
  <si>
    <t>Presentar la estimación de riesgo que puede tener en la desviación de la cantidad de horas, una mala especificación de requerimientos por parte de la DIAN.</t>
  </si>
  <si>
    <t>Realizar una revisión exhaustiva de los requerimientos especificados por la DIAN.</t>
  </si>
  <si>
    <t>RISK_0071</t>
  </si>
  <si>
    <t>El bajo consumo de la nube de AWS podría implicar no ejecutar la totalidad de los recursos.</t>
  </si>
  <si>
    <t>las alertas tienen relación con: i) el bajo consumo de la nube de AWS, que podría implicar no ejecutar la totalidad de los recursos.</t>
  </si>
  <si>
    <t>Revisar y ajustar la utilización de recursos en la nube para optimizar su uso.</t>
  </si>
  <si>
    <t>RISK_0023</t>
  </si>
  <si>
    <t>Retraso en la entrega de informes mensuales de operación y gestión.</t>
  </si>
  <si>
    <t>Establecer un cronograma de entrega más riguroso y realizar seguimiento constante.</t>
  </si>
  <si>
    <t>RISK_0080</t>
  </si>
  <si>
    <t>Alcance del contrato no claro</t>
  </si>
  <si>
    <t>La falta de claridad sobre si el tema de Observabilidad está incluido en el alcance del contrato puede afectar la calidad del proyecto.</t>
  </si>
  <si>
    <t>Revisar si el tema de Observabilidad está incluido en el alcance del contrato de Multinube Lote 1.</t>
  </si>
  <si>
    <t>Clarificar el alcance del contrato y asegurar que todos los aspectos necesarios estén cubiertos.</t>
  </si>
  <si>
    <t>RISK_0007</t>
  </si>
  <si>
    <t>Demoras en cierre de actas de aceptación</t>
  </si>
  <si>
    <t>Demoras en el cierre de actas de aceptación que pueden retrasar el avance del proyecto.</t>
  </si>
  <si>
    <t>Demoras en el cierre de las actas de aceptación por parte del Consorcio.</t>
  </si>
  <si>
    <t>Establecer un seguimiento regular con el Consorcio para asegurar el cierre oportuno de las actas.</t>
  </si>
  <si>
    <t>RISK_0118</t>
  </si>
  <si>
    <t>Monitoreo de servidores</t>
  </si>
  <si>
    <t>Riesgo de pérdida de conexión durante el onboarding de servidores.</t>
  </si>
  <si>
    <t>se está monitoreando para asegurar que no se pierda la conexión.</t>
  </si>
  <si>
    <t>Implementar un plan de contingencia en caso de pérdida de conexión.</t>
  </si>
  <si>
    <t>RISK_0105</t>
  </si>
  <si>
    <t>Retraso en la entrega de remediación de vulnerabilidades</t>
  </si>
  <si>
    <t>El retraso en la entrega del plan de remediación puede dejar la plataforma vulnerable.</t>
  </si>
  <si>
    <t>se espera dar cierre el 25/08/2025.</t>
  </si>
  <si>
    <t>Acelerar el proceso de remediación y realizar auditorías de seguridad periódicas.</t>
  </si>
  <si>
    <t>RISK_0035</t>
  </si>
  <si>
    <t>Retrasos en la revisión de informes</t>
  </si>
  <si>
    <t>Posibles retrasos en la revisión de informes por parte de la DIAN que pueden afectar el control de cambios.</t>
  </si>
  <si>
    <t>Confirmación de los días de revisión de la DIAN de los informes y entregables de la Interventoría, para el trámite del control de cambios de su plan de trabajo.</t>
  </si>
  <si>
    <t>Establecer un cronograma claro de revisión y seguimiento con la DIAN para evitar retrasos.</t>
  </si>
  <si>
    <t>RISK_0033</t>
  </si>
  <si>
    <t>Desviación en estimación de esfuerzos</t>
  </si>
  <si>
    <t>Posible desviación en la estimación de esfuerzos para los requerimientos.</t>
  </si>
  <si>
    <t>Enviar a la DIAN el cuadro de estimación de esfuerzos con el análisis de desviación, en horas y en porcentajes, para los dos requerimientos - DATAR.</t>
  </si>
  <si>
    <t>Realizar un seguimiento continuo de las estimaciones y ajustar el cronograma según sea necesario.</t>
  </si>
  <si>
    <t>RISK_0031</t>
  </si>
  <si>
    <t>Conexión de canales</t>
  </si>
  <si>
    <t>Riesgo de no recibir el plan de acción para la conexión de canales, lo que puede afectar el avance del proyecto.</t>
  </si>
  <si>
    <t>Validar al interior de la Interventoría el mecanismo para solicitar a Kyndryl el plan de acción para la conexión de canales, según lo definido contractualmente.</t>
  </si>
  <si>
    <t>Establecer un cronograma para la solicitud y seguimiento del plan de acción.</t>
  </si>
  <si>
    <t>Compromisos en curso</t>
  </si>
  <si>
    <t>Existen varios compromisos en curso que pueden afectar el avance del proyecto si no se gestionan adecuadamente.</t>
  </si>
  <si>
    <t>5 en curso por parte de la Interventoría.</t>
  </si>
  <si>
    <t>Realizar seguimiento a los compromisos en curso para asegurar su cumplimiento.</t>
  </si>
  <si>
    <t>RISK_0056</t>
  </si>
  <si>
    <t>Retraso en cierre documental</t>
  </si>
  <si>
    <t>Posible retraso en la entrega de documentación necesaria para el cierre del proyecto.</t>
  </si>
  <si>
    <t>La Interventoría menciona que toda la documentación para el cierre tanto de REQ como de meses a facturar de SF debe quedar antes del 17 de septiembre.</t>
  </si>
  <si>
    <t>Establecer un seguimiento semanal para asegurar la entrega de la documentación a tiempo.</t>
  </si>
  <si>
    <t>RISK_0012</t>
  </si>
  <si>
    <t>Falta de acceso al ambiente de desarrollo</t>
  </si>
  <si>
    <t>Dificultades en el seguimiento del piloto debido a la falta de acceso al ambiente de desarrollo.</t>
  </si>
  <si>
    <t>La Interventoría indica que esta solicitud se hizo directamente al representante legal del Consorcio, de lo cual, no se ha recibido respuesta.</t>
  </si>
  <si>
    <t>Realizar un seguimiento formal y escalado para obtener el acceso necesario al ambiente de desarrollo.</t>
  </si>
  <si>
    <t>Retraso en observaciones de tableros</t>
  </si>
  <si>
    <t>Los equipos de la DIAN no se han pronunciado con sus observaciones a los tableros entregados por Kyndryl.</t>
  </si>
  <si>
    <t>se programó una sesión el 05/09/2025, con equipos de la DIAN que a la fecha no se han pronunciado con sus observaciones a los tableros entregados por Kyndryl.</t>
  </si>
  <si>
    <t>Establecer un seguimiento proactivo para obtener las observaciones necesarias.</t>
  </si>
  <si>
    <t>RISK_0089</t>
  </si>
  <si>
    <t>Contingencia de red</t>
  </si>
  <si>
    <t>Posible extensión de la restricción de red que afecta la operación del proyecto.</t>
  </si>
  <si>
    <t>La DIAN menciona que se deben escalar y evaluar las actividades que atiendan una posible extensión de dicha contingencia y poder prevenir posibles situaciones que puedan afectar la operación del proyecto DataR.</t>
  </si>
  <si>
    <t>Solicitar al Consorcio un plan de acción para mitigar el impacto de la contingencia.</t>
  </si>
  <si>
    <t>RISK_0065</t>
  </si>
  <si>
    <t>Configuración de HealthCheck</t>
  </si>
  <si>
    <t>Pendientes en la configuración de aplicaciones que pueden afectar la operación.</t>
  </si>
  <si>
    <t>Se envió al Subdirector de Soluciones y Desarrollo, el listado de aplicaciones con HealthCheck sin configurar.</t>
  </si>
  <si>
    <t>Priorizar la revisión y configuración de los HealthChecks para asegurar el correcto funcionamiento de las aplicaciones.</t>
  </si>
  <si>
    <t>RISK_0017</t>
  </si>
  <si>
    <t>Incertidumbre en la migración de datos</t>
  </si>
  <si>
    <t>La falta de información suficiente para estimar la migración de datos puede llevar a un consumo excesivo de recursos.</t>
  </si>
  <si>
    <t>no se tienen suficientes datos para hacer una revisión con base en los volúmenes de información que se esperan migrar.</t>
  </si>
  <si>
    <t>Solicitar a la UT la entrega inmediata de la documentación necesaria para evaluar la migración de datos.</t>
  </si>
  <si>
    <t>RISK_0003</t>
  </si>
  <si>
    <t>Retraso en la entrega de documentos</t>
  </si>
  <si>
    <t>Retrasos en la entrega del plan de gestión de riesgos digitales debido a cambios en los tiempos de revisión.</t>
  </si>
  <si>
    <t>se espera incluir en este mismo control de cambios la actualización del periodo de revisión de la versión inicial de los entregables por parte de la DIAN de 3 días a 5 días hábiles</t>
  </si>
  <si>
    <t>Asegurar la comunicación constante con la DIAN para evitar retrasos adicionales.</t>
  </si>
  <si>
    <t>RISK_0066</t>
  </si>
  <si>
    <t>Problemas de rendimiento en carga de información</t>
  </si>
  <si>
    <t>Los problemas de rendimiento en la carga de información pueden afectar la eficiencia del sistema.</t>
  </si>
  <si>
    <t>continúan los problemas de rendimiento en la carga de información, que supera las 29 horas.</t>
  </si>
  <si>
    <t>Programar reuniones diarias con los proveedores para evaluar alternativas que optimicen el uso de recursos.</t>
  </si>
  <si>
    <t>RISK_0034</t>
  </si>
  <si>
    <t>Impacto en la migración de datos</t>
  </si>
  <si>
    <t>Riesgo de impacto en el proceso de migración de datos debido a la falta de validación del cronograma y alcance.</t>
  </si>
  <si>
    <t>Validar la fecha de migración de datos del NSGA frente al cronograma y el contrato y el alcance con relación a las actividades que hace el NSGA y el DATAR en el proceso de migración de datos.</t>
  </si>
  <si>
    <t>Coordinar con todas las partes involucradas para asegurar que el cronograma y el alcance sean claros y se cumplan.</t>
  </si>
  <si>
    <t>Compromisos en curso con la DIAN pueden generar incertidumbre en el avance del proyecto.</t>
  </si>
  <si>
    <t>1 en curso por parte de la DIAN.</t>
  </si>
  <si>
    <t>Monitorear el estado de los compromisos y establecer plazos claros para su cumplimiento.</t>
  </si>
  <si>
    <t>RISK_0129</t>
  </si>
  <si>
    <t>Reestimación de requerimientos</t>
  </si>
  <si>
    <t>La necesidad de reestimación de requerimientos puede impactar los costos y tiempos del proyecto.</t>
  </si>
  <si>
    <t>Realizar una sesión con Consorcio para validar una reestimación de estos dos requerimientos.</t>
  </si>
  <si>
    <t>Programar la sesión de reestimación lo antes posible para minimizar el impacto en el cronograma.</t>
  </si>
  <si>
    <t>RISK_0022</t>
  </si>
  <si>
    <t>Propuesta de no definir historias de alto nivel</t>
  </si>
  <si>
    <t>La decisión de no definir historias de alto nivel para ciertos módulos puede llevar a una falta de claridad en los requisitos del proyecto.</t>
  </si>
  <si>
    <t>la UT está revisando el impacto de una propuesta planteada a la DIAN en la mesa de trabajo del día de ayer, en donde solicitan no definir historias de alto nivel para los módulos 04, 05, 06 y 08.</t>
  </si>
  <si>
    <t>Revisar y discutir la propuesta con todas las partes interesadas para asegurar que se mantenga la metodología aprobada.</t>
  </si>
  <si>
    <t>RISK_0145</t>
  </si>
  <si>
    <t>Operación y gestión de la Multinube</t>
  </si>
  <si>
    <t>Riesgo de interrupción en la operación y gestión de la Multinube si no se empalma con un nuevo proveedor.</t>
  </si>
  <si>
    <t>Quien asumiría la operación y gestión de la Multinube si no es posible empalmar con un nuevo proveedor.</t>
  </si>
  <si>
    <t>Definir un plan de transición para asegurar la continuidad del servicio en caso de cambio de proveedor.</t>
  </si>
  <si>
    <t>Atraso en avance del proyecto</t>
  </si>
  <si>
    <t>El avance real del proyecto es inferior al avance esperado, lo que indica un posible atraso en la ejecución.</t>
  </si>
  <si>
    <t>Avance real: 64% Avance esperado: 70% Atraso: 6%</t>
  </si>
  <si>
    <t>Realizar un análisis detallado de las causas del atraso y ajustar el cronograma del proyecto.</t>
  </si>
  <si>
    <t>RISK_0108</t>
  </si>
  <si>
    <t>Atraso en REQ006 a REQ011</t>
  </si>
  <si>
    <t>Riesgo de atraso en los requerimientos debido a la suspensión de actividades de bases de datos.</t>
  </si>
  <si>
    <t>Los REQ 006, 008, 009, 010 y 011 están en riesgo de atraso debido a la suspensión de actividades de bases de datos en horario hábil del 11 al 15 de agosto de 2025.</t>
  </si>
  <si>
    <t>Reprogramar actividades para horarios no hábiles y socializar cambios con los equipos.</t>
  </si>
  <si>
    <t>RISK_0058</t>
  </si>
  <si>
    <t>Inadecuado análisis de clúster</t>
  </si>
  <si>
    <t>Riesgo de que el análisis de clúster no sea lo suficientemente detallado, afectando la calidad del servicio.</t>
  </si>
  <si>
    <t>Se le solicitó al Consorcio realizar un análisis más detallado, incluyendo la comparación con el clúster actual.</t>
  </si>
  <si>
    <t>Revisar y validar el análisis de clúster antes de su implementación.</t>
  </si>
  <si>
    <t>Renegociación con proveedor</t>
  </si>
  <si>
    <t>Riesgo de no alcanzar un acuerdo en la renegociación con Kyndryl.</t>
  </si>
  <si>
    <t>se debe adelantar una renegociación con Kyndryl para definir las condiciones de una posible prórroga.</t>
  </si>
  <si>
    <t>Establecer un plan de contingencia en caso de que la renegociación no sea exitosa.</t>
  </si>
  <si>
    <t>Incumplimiento de plazos</t>
  </si>
  <si>
    <t>El incumplimiento de plazos establecidos puede llevar a sanciones contractuales.</t>
  </si>
  <si>
    <t>Se recomienda que todos los equipos cumplan estos plazos, para evitar un incumplimiento del contrato.</t>
  </si>
  <si>
    <t>Implementar un sistema de monitoreo de plazos y realizar reuniones periódicas para asegurar el cumplimiento.</t>
  </si>
  <si>
    <t>Consumo de nube elevado</t>
  </si>
  <si>
    <t>Se reporta un consumo de la nube primaria del 53% con respecto al valor aprovisionado.</t>
  </si>
  <si>
    <t>Se reporta un consumo de la nube primaria del 53% con respecto al valor aprovisionado, con corte al 23/08/2025.</t>
  </si>
  <si>
    <t>Monitorear el consumo de la nube y ajustar la provisión si es necesario.</t>
  </si>
  <si>
    <t>RISK_0144</t>
  </si>
  <si>
    <t>Falta de recursos para contratación</t>
  </si>
  <si>
    <t>Incertidumbre sobre los recursos necesarios para adelantar un nuevo proceso de contratación.</t>
  </si>
  <si>
    <t>los recursos para adelantar la contratación.</t>
  </si>
  <si>
    <t>Realizar un análisis financiero para asegurar la disponibilidad de recursos antes de iniciar el proceso de contratación.</t>
  </si>
  <si>
    <t>RISK_0057</t>
  </si>
  <si>
    <t>Riesgo de no obtener la firma del informe de actividades del mes de marzo por parte de la DIAN.</t>
  </si>
  <si>
    <t>De igual forma la Interventoría menciona y solicita a la DIAN la firma del informe de actividades mes de marzo de servicios fijos.</t>
  </si>
  <si>
    <t>Coordinar con la DIAN para asegurar la firma del informe antes de la fecha límite.</t>
  </si>
  <si>
    <t>RISK_0082</t>
  </si>
  <si>
    <t>Posibilidad de que los entregables no se completen a tiempo debido a un avance real inferior al esperado.</t>
  </si>
  <si>
    <t>Avance real: 89% Avance esperado: 90% Atraso: 1%</t>
  </si>
  <si>
    <t>Monitorear el avance de los entregables y ajustar el cronograma si es necesario.</t>
  </si>
  <si>
    <t>RISK_0090</t>
  </si>
  <si>
    <t>Impacto en requerimientos</t>
  </si>
  <si>
    <t>La contingencia de red podría impactar los requerimientos REQ013 y REQ014.</t>
  </si>
  <si>
    <t>Dicha contingencia podría estar impactando estos dos requerimientos también.</t>
  </si>
  <si>
    <t>Realizar un análisis de impacto sobre los requerimientos afectados y ajustar el cronograma según sea necesario.</t>
  </si>
  <si>
    <t>RISK_0016</t>
  </si>
  <si>
    <t>Entregables atrasados</t>
  </si>
  <si>
    <t>Existen 32 entregables atrasados, lo que puede afectar la calidad del proyecto.</t>
  </si>
  <si>
    <t>se encuentran 32 entregables atrasados, dos (2) entregables en ciclos de revisión y uno (1) en aprobación.</t>
  </si>
  <si>
    <t>Priorizar la finalización de los entregables atrasados y establecer un seguimiento más riguroso.</t>
  </si>
  <si>
    <t>Definición de gestión de actividades</t>
  </si>
  <si>
    <t>Riesgo de falta de claridad en la gestión de actividades asociadas a proyectos, lo que puede afectar su ejecución.</t>
  </si>
  <si>
    <t>Se requiere definir la gestión de las actividades asociadas a los proyectos NSGA, NSGT y PDIS.</t>
  </si>
  <si>
    <t>Establecer un plan claro para la gestión de actividades y asignar responsabilidades.</t>
  </si>
  <si>
    <t>Incertidumbre en tiempos de validación</t>
  </si>
  <si>
    <t>Incertidumbre en los tiempos de validación de los entregables por parte de la DIAN.</t>
  </si>
  <si>
    <t>algunos gerentes han solicitado tiempos adicionales a los previstos en el plan de trabajo de la Interventoría</t>
  </si>
  <si>
    <t>Definir claramente los tiempos de validación y comunicarlos a todas las partes interesadas.</t>
  </si>
  <si>
    <t>DOC_007_RCHUNK_003</t>
  </si>
  <si>
    <t>Posible retraso en la generación de la documentación necesaria para la facturación.</t>
  </si>
  <si>
    <t>En proceso generación de documentación para el alistamiento de la facturación de los REQ (requerimientos) 004, 005 y 007 para el mes de septiembre de Servicios a Demanda.</t>
  </si>
  <si>
    <t>Acelerar la generación de la documentación y establecer un cronograma claro para su finalización.</t>
  </si>
  <si>
    <t>RISK_0041</t>
  </si>
  <si>
    <t>Negociación de contrato</t>
  </si>
  <si>
    <t>Riesgo asociado a la extensión del contrato con la DIAN que puede afectar la continuidad del proyecto.</t>
  </si>
  <si>
    <t>Se adelantan actividades de negociación de extensión del contrato con la DIAN.</t>
  </si>
  <si>
    <t>Monitorear de cerca el proceso de negociación y establecer un plan de contingencia en caso de no llegar a un acuerdo.</t>
  </si>
  <si>
    <t>RISK_0042</t>
  </si>
  <si>
    <t>Observaciones de la DIAN</t>
  </si>
  <si>
    <t>Riesgo de que las observaciones de la DIAN afecten la calidad del informe de gestión.</t>
  </si>
  <si>
    <t>La Interventoría se encuentra en revisión de las observaciones.</t>
  </si>
  <si>
    <t>Realizar un análisis exhaustivo de las observaciones y ajustar el informe de gestión según sea necesario.</t>
  </si>
  <si>
    <t>RISK_0043</t>
  </si>
  <si>
    <t>DOC_007_RCHUNK_004</t>
  </si>
  <si>
    <t>Retraso en entrega de informes</t>
  </si>
  <si>
    <t>Posible retraso en la entrega de informes mensuales por parte del Consorcio.</t>
  </si>
  <si>
    <t>Informe de abril 2025: Pendiente envío con firma del informe de actividades por parte del Consorcio.</t>
  </si>
  <si>
    <t>Establecer un cronograma de seguimiento para asegurar la entrega oportuna de los informes.</t>
  </si>
  <si>
    <t>RISK_0044</t>
  </si>
  <si>
    <t>Requerimientos pendientes de cierre</t>
  </si>
  <si>
    <t>Existencia de requerimientos pendientes de cierre que pueden afectar el avance del proyecto.</t>
  </si>
  <si>
    <t>Pendiente: actas de cierre del requerimiento.</t>
  </si>
  <si>
    <t>Acelerar el proceso de cierre de requerimientos y asegurar la documentación necesaria.</t>
  </si>
  <si>
    <t>RISK_0045</t>
  </si>
  <si>
    <t>DOC_007_RCHUNK_005</t>
  </si>
  <si>
    <t>Retraso en cierre de requerimientos</t>
  </si>
  <si>
    <t>Posible retraso en la entrega de actas de cierre del requerimiento.</t>
  </si>
  <si>
    <t>Establecer un seguimiento regular para asegurar la entrega oportuna de las actas.</t>
  </si>
  <si>
    <t>RISK_0046</t>
  </si>
  <si>
    <t>Modificaciones manuales en producción</t>
  </si>
  <si>
    <t>Riesgo asociado a las modificaciones manuales en producción que pueden afectar la estabilidad del sistema.</t>
  </si>
  <si>
    <t>La Interventoría menciona que el Consorcio dio respuesta al comunicado enviado sobre las modificaciones manuales en producción al REQ006.</t>
  </si>
  <si>
    <t>Implementar controles adicionales y auditorías para monitorear las modificaciones manuales.</t>
  </si>
  <si>
    <t>RISK_0060</t>
  </si>
  <si>
    <t>DOC_007_RCHUNK_009</t>
  </si>
  <si>
    <t>Atrasos en cierre de REQ</t>
  </si>
  <si>
    <t>Posibilidad de que los REQ no se cierren a tiempo, lo que podría generar atrasos en el proyecto.</t>
  </si>
  <si>
    <t>La Interventoría menciona que toda la documentación para el cierre tanto de REQ como de meses a facturar de SF debe quedar antes del 17 de septiembre de 2025.</t>
  </si>
  <si>
    <t>Establecer un cronograma de seguimiento y recordatorios para asegurar la entrega de la documentación a tiempo.</t>
  </si>
  <si>
    <t>RISK_0061</t>
  </si>
  <si>
    <t>Riesgos en la ejecución de actividades</t>
  </si>
  <si>
    <t>Riesgos asociados a la ejecución de las actividades de prueba de penetración.</t>
  </si>
  <si>
    <t>Se propone sesión para el 3/09/2025 con el fin de revisar el alcance y riesgos de la ejecución de las actividades.</t>
  </si>
  <si>
    <t>Realizar una evaluación de riesgos antes de la sesión y preparar un plan de mitigación.</t>
  </si>
  <si>
    <t>RISK_0081</t>
  </si>
  <si>
    <t>DOC_008_RCHUNK_001</t>
  </si>
  <si>
    <t>Atraso en actividades</t>
  </si>
  <si>
    <t>Posibilidad de que se presenten atrasos en las actividades del proyecto.</t>
  </si>
  <si>
    <t>Atraso: 0%</t>
  </si>
  <si>
    <t>Monitorear el avance de las actividades y establecer alertas para posibles atrasos.</t>
  </si>
  <si>
    <t>RISK_0085</t>
  </si>
  <si>
    <t>DOC_008_RCHUNK_003</t>
  </si>
  <si>
    <t>Retraso en revisión de informes</t>
  </si>
  <si>
    <t>Posible retraso en la entrega de informes debido a la revisión y ajustes pendientes.</t>
  </si>
  <si>
    <t>En ciclo 1 de revisión y ajustes por parte de DIAN e Interventoría.</t>
  </si>
  <si>
    <t>Establecer un cronograma claro para la revisión y ajustes de los informes.</t>
  </si>
  <si>
    <t>RISK_0086</t>
  </si>
  <si>
    <t>DOC_008_RCHUNK_004</t>
  </si>
  <si>
    <t>Atraso en entregas de informes</t>
  </si>
  <si>
    <t>Riesgo de que los informes pendientes no se entreguen a tiempo por parte del Consorcio.</t>
  </si>
  <si>
    <t>Informe de mayo 2025: Pendiente por entregar por parte del Consorcio.</t>
  </si>
  <si>
    <t>Establecer un cronograma de seguimiento y comunicación constante con el Consorcio para asegurar la entrega de informes.</t>
  </si>
  <si>
    <t>RISK_0087</t>
  </si>
  <si>
    <t>Riesgo de atraso en requerimientos</t>
  </si>
  <si>
    <t>Algunos requerimientos están en riesgo de atraso debido a la suspensión de actividades de bases de datos.</t>
  </si>
  <si>
    <t>Se identificaron atrasos en algunos de los requerimientos.</t>
  </si>
  <si>
    <t>Reprogramar las actividades afectadas y socializar los cambios con el equipo para minimizar el impacto.</t>
  </si>
  <si>
    <t>RISK_0088</t>
  </si>
  <si>
    <t>Complicaciones en frentes de trabajo</t>
  </si>
  <si>
    <t>La directriz de la DIAN puede complicar varios frentes de trabajo.</t>
  </si>
  <si>
    <t>Se reconoce que esta directriz puede complicar varios frentes de trabajo.</t>
  </si>
  <si>
    <t>Evaluar y ajustar los planes de trabajo para adaptarse a la nueva directriz de la DIAN.</t>
  </si>
  <si>
    <t>DOC_008_RCHUNK_006</t>
  </si>
  <si>
    <t>Retraso en aprobación de informes</t>
  </si>
  <si>
    <t>El retraso en la aprobación del informe de actividades por parte de la DIAN puede afectar el avance del proyecto.</t>
  </si>
  <si>
    <t>Se tiene pendiente el VoBo por parte de la DIAN sobre el informe de actividades y posteriormente, poder avanzar en temas de facturación.</t>
  </si>
  <si>
    <t>Establecer un seguimiento continuo con la DIAN para acelerar la aprobación del informe.</t>
  </si>
  <si>
    <t>RISK_0093</t>
  </si>
  <si>
    <t>Ingesta de datos incompleta</t>
  </si>
  <si>
    <t>La falta de documentación de cierre y respuesta del Consorcio puede llevar a una ingesta de datos incompleta.</t>
  </si>
  <si>
    <t>Pendiente: documentación de cierre y respuesta por parte del Consorcio al correo sobre los hallazgos en cuanto a la eliminación manual de duplicados.</t>
  </si>
  <si>
    <t>Solicitar al Consorcio una respuesta inmediata y asegurar la entrega de la documentación necesaria.</t>
  </si>
  <si>
    <t>RISK_0094</t>
  </si>
  <si>
    <t>Atrasos atribuibles al Consorcio</t>
  </si>
  <si>
    <t>Los atrasos en el proyecto pueden ser considerados como ANS atribuibles al Consorcio, lo que podría afectar la relación contractual.</t>
  </si>
  <si>
    <t>La DIAN menciona que dichos atrasos se debe tener ANS atribuibles al Consorcio.</t>
  </si>
  <si>
    <t>Revisar los acuerdos de nivel de servicio (ANS) y establecer un plan de acción para mitigar futuros atrasos.</t>
  </si>
  <si>
    <t>RISK_0095</t>
  </si>
  <si>
    <t>DOC_008_RCHUNK_007</t>
  </si>
  <si>
    <t>Atrasos en la aprobación de informes</t>
  </si>
  <si>
    <t>Posibles retrasos en el cronograma debido a la falta de aprobación de informes por parte de la DIAN.</t>
  </si>
  <si>
    <t>Pendiente aprobación de informe de actividades por parte de la DIAN.</t>
  </si>
  <si>
    <t>Establecer un seguimiento regular con la DIAN para asegurar la aprobación oportuna de los informes.</t>
  </si>
  <si>
    <t>RISK_0096</t>
  </si>
  <si>
    <t>Liberación de documentación técnica pendiente</t>
  </si>
  <si>
    <t>Riesgo de falta de documentación técnica que puede afectar la calidad de las pruebas ejecutadas.</t>
  </si>
  <si>
    <t>Pendiente: Liberación documentación técnica pruebas ejecutadas (Consorcio).</t>
  </si>
  <si>
    <t>Solicitar al Consorcio la liberación inmediata de la documentación técnica necesaria.</t>
  </si>
  <si>
    <t>RISK_0106</t>
  </si>
  <si>
    <t>DOC_008_RCHUNK_011</t>
  </si>
  <si>
    <t>Retraso en la actualización del plan de trabajo</t>
  </si>
  <si>
    <t>Posible retraso en la actualización del plan de trabajo que podría afectar el cronograma del proyecto.</t>
  </si>
  <si>
    <t>Es necesario actualizar el plan de trabajo a corte de noviembre 2025 por parte del Consorcio y formalizar dicha actualización.</t>
  </si>
  <si>
    <t>Establecer un seguimiento regular para asegurar la actualización oportuna del plan de trabajo.</t>
  </si>
  <si>
    <t>RISK_0107</t>
  </si>
  <si>
    <t>Retraso en el cierre de requerimientos</t>
  </si>
  <si>
    <t>Posible retraso en la finalización de los requerimientos 004 y 005 que podría impactar el cronograma del proyecto.</t>
  </si>
  <si>
    <t>Se requiere agilizar el tema de actas de cierre para finiquitar los requerimientos 004 y 005.</t>
  </si>
  <si>
    <t>Priorizar la gestión de actas de cierre y asignar recursos para su agilización.</t>
  </si>
  <si>
    <t>DOC_008_RCHUNK_013</t>
  </si>
  <si>
    <t>Retraso en la aprobación de entregables</t>
  </si>
  <si>
    <t>Posible retraso en el cronograma debido a la revisión de entregables por parte de la DIAN.</t>
  </si>
  <si>
    <t>Actualmente tres (3) entregables están en revisión por la DIAN y la Interventoría correspondientes a los informes de operación y gestión de junio de 2025.</t>
  </si>
  <si>
    <t>Establecer un seguimiento cercano a la revisión de los entregables y coordinar con la DIAN para acelerar el proceso.</t>
  </si>
  <si>
    <t>DOC_008_RCHUNK_018</t>
  </si>
  <si>
    <t>Modificación contractual</t>
  </si>
  <si>
    <t>Posibilidad de que la modificación contractual solicitada afecte el desarrollo del proyecto.</t>
  </si>
  <si>
    <t>la DIAN solicitó un concepto a la Interventoría sobre la propuesta de modificación contractual</t>
  </si>
  <si>
    <t>Realizar un análisis detallado de la modificación y sus posibles impactos en el proyecto.</t>
  </si>
  <si>
    <t>RISK_0126</t>
  </si>
  <si>
    <t>Consumo elevado</t>
  </si>
  <si>
    <t>El consumo reportado del 75.56% puede indicar un riesgo de sobrecostos o falta de recursos.</t>
  </si>
  <si>
    <t>Hasta el 23 de junio de 2025, el consumo se reporta en un 75.56%.</t>
  </si>
  <si>
    <t>Monitorear el consumo y ajustar el presupuesto si es necesario.</t>
  </si>
  <si>
    <t>RISK_0130</t>
  </si>
  <si>
    <t>DOC_009_RCHUNK_002</t>
  </si>
  <si>
    <t>Desviación en ejecución del contrato</t>
  </si>
  <si>
    <t>La ejecución del contrato está por debajo del plan de trabajo, lo que puede afectar el cronograma del proyecto.</t>
  </si>
  <si>
    <t>La ejecución de acuerdo con el plan de trabajo vigente es de un 81% Vs un 78% en el mes de julio de 2025.</t>
  </si>
  <si>
    <t>Realizar un seguimiento más cercano del avance del proyecto y ajustar el plan de trabajo si es necesario.</t>
  </si>
  <si>
    <t>RISK_0131</t>
  </si>
  <si>
    <t>Facturación insuficiente en pesos</t>
  </si>
  <si>
    <t>La facturación en pesos está por debajo del valor total del contrato, lo que puede generar problemas financieros.</t>
  </si>
  <si>
    <t>La facturación en pesos colombianos corresponde al 76 % del valor del contrato en pesos.</t>
  </si>
  <si>
    <t>Revisar el proceso de facturación y asegurar que se cumplan los términos contractuales.</t>
  </si>
  <si>
    <t>RISK_0132</t>
  </si>
  <si>
    <t>DOC_009_RCHUNK_003</t>
  </si>
  <si>
    <t>Desviación en el consumo de recursos</t>
  </si>
  <si>
    <t>El avance en el consumo acumulado de recursos es inferior al esperado, lo que puede afectar el presupuesto del proyecto.</t>
  </si>
  <si>
    <t>El avance en el consumo acumulado de recursos con corte al 23 de agosto de 2025 es del 36,07% del total del contrato.</t>
  </si>
  <si>
    <t>Realizar un seguimiento más cercano del consumo de recursos y ajustar el presupuesto según sea necesario.</t>
  </si>
  <si>
    <t>RISK_0133</t>
  </si>
  <si>
    <t>Retraso en el aprovisionamiento de recursos</t>
  </si>
  <si>
    <t>El bajo porcentaje de avance en el consumo de recursos puede indicar retrasos en el aprovisionamiento, afectando el cronograma del proyecto.</t>
  </si>
  <si>
    <t>El avance en el consumo acumulado de recursos con corte al 24 de agosto de 2025 es del 25,78% del total del contrato.</t>
  </si>
  <si>
    <t>Evaluar el cronograma del proyecto y establecer medidas para acelerar el aprovisionamiento de recursos.</t>
  </si>
  <si>
    <t>RISK_0134</t>
  </si>
  <si>
    <t>DOC_009_RCHUNK_004</t>
  </si>
  <si>
    <t>Retraso en requerimientos</t>
  </si>
  <si>
    <t>Posibilidad de que los requerimientos 8 y 9 no se completen a tiempo.</t>
  </si>
  <si>
    <t>los requerimientos 8 y 9, que presentaban una fecha inicial de culminación para el 22/08/2025 y que aún no han terminado</t>
  </si>
  <si>
    <t>Monitorear el avance de los planes de choque acordados con el contratista.</t>
  </si>
  <si>
    <t>RISK_0135</t>
  </si>
  <si>
    <t>No ejecución de recursos</t>
  </si>
  <si>
    <t>Recursos no ejecutados del contrato que podrían afectar la ejecución del proyecto.</t>
  </si>
  <si>
    <t>no se ejecutarían la totalidad de los recursos del contrato. Estos recursos que no se ejecutarían, ascienden aproximadamente a 12 mil quinientos millones de pesos</t>
  </si>
  <si>
    <t>Revisar la planificación financiera y ajustar los requerimientos para asegurar la utilización de los recursos.</t>
  </si>
  <si>
    <t>RISK_0136</t>
  </si>
  <si>
    <t>DOC_009_RCHUNK_005</t>
  </si>
  <si>
    <t>Atraso en cierre de informes</t>
  </si>
  <si>
    <t>Riesgo de no cumplir con los plazos establecidos para el cierre de informes mensuales.</t>
  </si>
  <si>
    <t>se ha presentado un atraso importante en el cierre de los informes mensuales</t>
  </si>
  <si>
    <t>Establecer un plan de acción inmediato para acelerar el cierre de informes y monitorear el progreso.</t>
  </si>
  <si>
    <t>RISK_0137</t>
  </si>
  <si>
    <t>Capacidad del contratista limitada</t>
  </si>
  <si>
    <t>El contratista no puede ejecutar requerimientos adicionales debido a su capacidad actual.</t>
  </si>
  <si>
    <t>el mismo Contratista confirmó que de acuerdo con su capacidad no podría llegar a ejecutar requerimientos adicionales</t>
  </si>
  <si>
    <t>Evaluar la posibilidad de contratar recursos adicionales o renegociar los plazos con el contratista.</t>
  </si>
  <si>
    <t>RISK_0138</t>
  </si>
  <si>
    <t>Cumplimiento de plazos perentorios</t>
  </si>
  <si>
    <t>Riesgo de incumplimiento de los plazos perentorios establecidos para el cierre de informes.</t>
  </si>
  <si>
    <t>la Interventoría conminó al contratista a través de la figura de 'plazos perentorios'</t>
  </si>
  <si>
    <t>Realizar seguimiento continuo al cumplimiento de los plazos perentorios y establecer consecuencias claras por incumplimiento.</t>
  </si>
  <si>
    <t>RISK_0146</t>
  </si>
  <si>
    <t>DOC_009_RCHUNK_008</t>
  </si>
  <si>
    <t>Retraso en la ejecución del contrato</t>
  </si>
  <si>
    <t>Posible retraso en la ejecución del contrato con el proveedor de lote 3.</t>
  </si>
  <si>
    <t>El Coordinador Técnico de la Interventoría, informa que envió concepto sobre el modificatorio que ampliaría el plazo del contrato con el proveedor de lote 3 (High Tech) hasta noviembre de 2028.</t>
  </si>
  <si>
    <t>Monitorear el avance del modificatorio y asegurar que se cumplan los plazos establecidos.</t>
  </si>
  <si>
    <t>RISK_0147</t>
  </si>
  <si>
    <t>Incertidumbre en la facturación de recursos</t>
  </si>
  <si>
    <t>Riesgo asociado a la facturación de recursos por concepto de 'Overage' que no generará factura.</t>
  </si>
  <si>
    <t>Cruce de los recursos en el consumo por concepto 'Overage', que se configuró durante los meses de mayo y junio de 2025, ya que no se generará factura alguna por este concepto.</t>
  </si>
  <si>
    <t>Revisar y ajustar el proceso de facturación para evitar pérdidas económicas.</t>
  </si>
  <si>
    <t>DOC_010</t>
  </si>
  <si>
    <t>INT_PC_AC_Acta Seguimiento Ejecutivo_20250303.pdf</t>
  </si>
  <si>
    <t>DOC_010_RCHUNK_002</t>
  </si>
  <si>
    <t>Desviación en avance del proyecto</t>
  </si>
  <si>
    <t>El avance del proyecto es inferior al planeado, aunque no representa una desviación significativa.</t>
  </si>
  <si>
    <t>la ejecución de acuerdo con el plan de trabajo vigente es de un 71%, versus un 72% planeado</t>
  </si>
  <si>
    <t>Monitorear el avance del proyecto y ajustar el plan de trabajo si es necesario.</t>
  </si>
  <si>
    <t>RISK_0150</t>
  </si>
  <si>
    <t>Facturación insuficiente</t>
  </si>
  <si>
    <t>La facturación del proveedor es inferior al porcentaje del avance del proyecto.</t>
  </si>
  <si>
    <t>la facturación en pesos colombianos corresponde al 57,24 % del valor del contrato en pesos</t>
  </si>
  <si>
    <t>Revisar el flujo de caja y coordinar con el proveedor para asegurar la facturación adecuada.</t>
  </si>
  <si>
    <t>RISK_0151</t>
  </si>
  <si>
    <t>DOC_010_RCHUNK_003</t>
  </si>
  <si>
    <t>La diferencia entre el porcentaje de avance del proyecto y la ejecución presupuestal puede indicar retrasos en el cronograma.</t>
  </si>
  <si>
    <t>Se aclara que la diferencia entre el porcentaje de avance del proyecto (71%) y la ejecución presupuestal, tanto en pesos (57,24%) como en dólares (59,25%), se debe al tiempo del proceso de facturación posterior al cumplimiento de los hitos.</t>
  </si>
  <si>
    <t>Monitorear de cerca el avance del proyecto y ajustar el cronograma según sea necesario.</t>
  </si>
  <si>
    <t>RISK_0152</t>
  </si>
  <si>
    <t>Bajo consumo de recursos</t>
  </si>
  <si>
    <t>El bajo consumo acumulado de recursos puede afectar la ejecución del contrato y la entrega de servicios.</t>
  </si>
  <si>
    <t>El avance en el consumo acumulado de recursos con corte al 24 de febrero de 2025 es del 26,23%.</t>
  </si>
  <si>
    <t>Revisar la planificación de recursos y ajustar la estrategia de consumo para alinearse con los objetivos del proyecto.</t>
  </si>
  <si>
    <t>RISK_0153</t>
  </si>
  <si>
    <t>DOC_010_RCHUNK_004</t>
  </si>
  <si>
    <t>Riesgo de no ejecutar la totalidad de los recursos durante los períodos establecidos para los contratos.</t>
  </si>
  <si>
    <t>se mantiene el riesgo de no ejecutar la totalidad de los recursos durante los períodos establecidos, para cada uno de los contratos de Lote 2 y Lote 3</t>
  </si>
  <si>
    <t>Monitorear el consumo de recursos y ajustar la planificación para asegurar la ejecución total de los recursos.</t>
  </si>
  <si>
    <t>RISK_0154</t>
  </si>
  <si>
    <t>DOC_010_RCHUNK_005</t>
  </si>
  <si>
    <t>No ejecución total del contrato</t>
  </si>
  <si>
    <t>Es probable que no se ejecute la totalidad del presupuesto del contrato antes de su finalización.</t>
  </si>
  <si>
    <t>el valor total del contrato no se ejecutaría durante la vigencia actual del contrato, es decir hasta noviembre de 2025.</t>
  </si>
  <si>
    <t>Realizar un seguimiento continuo del avance presupuestal y establecer medidas para asegurar la ejecución del contrato.</t>
  </si>
  <si>
    <t>RISK_0155</t>
  </si>
  <si>
    <t>El contratista no ha facturado a pesar de que el primer requerimiento ya está en producción.</t>
  </si>
  <si>
    <t>el contratista no lo ha facturado.</t>
  </si>
  <si>
    <t>Establecer comunicación directa con el contratista para asegurar la facturación oportuna de los hitos alcanzados.</t>
  </si>
  <si>
    <t>RISK_0156</t>
  </si>
  <si>
    <t>DOC_010_RCHUNK_006</t>
  </si>
  <si>
    <t>Atrasos en la ejecución del contrato</t>
  </si>
  <si>
    <t>Riesgo asociado a la posibilidad de que el contratista no cumpla con los plazos establecidos debido a un historial de atrasos.</t>
  </si>
  <si>
    <t>la Interventoría mantiene un riesgo alto en la ejecución del contrato debido al historial de atrasos presentados.</t>
  </si>
  <si>
    <t>Monitorear de cerca el avance del contratista y establecer medidas correctivas si se presentan nuevos atrasos.</t>
  </si>
  <si>
    <t>tipo_error</t>
  </si>
  <si>
    <t>definicion</t>
  </si>
  <si>
    <t>El texto describe un problema que ya ocurrió, sin formular exposición futura.</t>
  </si>
  <si>
    <t>Se identificó como riesgo un compromiso o actividad normal sin señal de amenaza.</t>
  </si>
  <si>
    <t>La extracción confundió una acción, recomendación o plan de mejora con un riesgo.</t>
  </si>
  <si>
    <t>CONTEXTO_SIN_RIESGO</t>
  </si>
  <si>
    <t>El fragmento es descriptivo y no contiene una condición de riesgo.</t>
  </si>
  <si>
    <t>La evidencia no soporta de forma verificable la descripción del riesgo.</t>
  </si>
  <si>
    <t>INFERENCIA_EXCESIVA</t>
  </si>
  <si>
    <t>El riesgo requiere supuestos que no están respaldados por el fragmento.</t>
  </si>
  <si>
    <t>DUPLICADO</t>
  </si>
  <si>
    <t>El mismo riesgo fue extraído varias veces de evidencia equivalente.</t>
  </si>
  <si>
    <t>OTRO</t>
  </si>
  <si>
    <t>La causa no corresponde a las categorías anteriores.</t>
  </si>
  <si>
    <t>Guía de revisión manual</t>
  </si>
  <si>
    <t>Paso</t>
  </si>
  <si>
    <t>Acción</t>
  </si>
  <si>
    <t>Criterio</t>
  </si>
  <si>
    <t>1</t>
  </si>
  <si>
    <t>Comenzar por el grupo A</t>
  </si>
  <si>
    <t>Son coincidencias altas con riesgos validados en junio. Confirmar, no copiar automáticamente.</t>
  </si>
  <si>
    <t>2</t>
  </si>
  <si>
    <t>Leer riesgo y evidencia</t>
  </si>
  <si>
    <t>Comparar risk_description con evidence; la evidencia debe sostener la afirmación.</t>
  </si>
  <si>
    <t>3</t>
  </si>
  <si>
    <t>Registrar validez</t>
  </si>
  <si>
    <t>En riesgo_valido_manual: 1 si es riesgo válido; 0 si es falso positivo.</t>
  </si>
  <si>
    <t>4</t>
  </si>
  <si>
    <t>Validar categoría</t>
  </si>
  <si>
    <t>En categoria_correcta_manual: 1 si la categoría es correcta; 0 si debe corregirse.</t>
  </si>
  <si>
    <t>5</t>
  </si>
  <si>
    <t>Clasificar el error</t>
  </si>
  <si>
    <t>Solo para falsos positivos, elegir tipo_error_manual según la hoja Taxonomia.</t>
  </si>
  <si>
    <t>6</t>
  </si>
  <si>
    <t>Explicar la causa</t>
  </si>
  <si>
    <t>Completar causa_raiz_manual y correccion_requerida_manual con una frase clara.</t>
  </si>
  <si>
    <t>7</t>
  </si>
  <si>
    <t>Guardar sin renombrar</t>
  </si>
  <si>
    <t>Conservar este archivo para consolidar métricas y diseñar el agente validador.</t>
  </si>
  <si>
    <t>Importante: la validación manual constituye el Gold Standard. Las columnas de sugerencia únicamente priorizan el orden de revisión y no deben utilizarse como resultado definitivo.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</si>
</sst>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8"/>
      <color rgb="FFFFFFFF"/>
      <name val="Carlito"/>
    </font>
    <font>
      <b/>
      <sz val="11"/>
      <color rgb="FFFFFFFF"/>
      <name val="Carlito"/>
    </font>
    <font>
      <b/>
      <sz val="13"/>
      <color rgb="FF1F1F1F"/>
      <name val="Carlito"/>
    </font>
    <font>
      <i/>
      <sz val="11"/>
      <color rgb="FF7F6000"/>
      <name val="Carlito"/>
    </font>
    <font>
      <b/>
      <sz val="11"/>
      <color rgb="FF7F6000"/>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F2F2F2"/>
      </patternFill>
    </fill>
  </fills>
  <borders count="10">
    <border>
      <left/>
      <right/>
      <top/>
      <bottom/>
      <diagonal/>
    </border>
    <border>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top style="thin">
        <color rgb="FFD9E2F3"/>
      </top>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s>
  <cellStyleXfs count="1">
    <xf numFmtId="0" fontId="0" fillId="0" borderId="0"/>
  </cellStyleXfs>
  <cellXfs count="26">
    <xf numFmtId="0" fontId="0" fillId="0" borderId="0" xfId="0"/>
    <xf numFmtId="0" fontId="2"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64" fontId="0" fillId="0" borderId="6" xfId="0" applyNumberFormat="1" applyBorder="1"/>
    <xf numFmtId="0" fontId="0" fillId="4" borderId="0" xfId="0" applyFill="1"/>
    <xf numFmtId="0" fontId="2" fillId="2" borderId="0" xfId="0" applyFont="1" applyFill="1" applyAlignment="1">
      <alignment vertical="center" wrapText="1"/>
    </xf>
    <xf numFmtId="0" fontId="0" fillId="5" borderId="0" xfId="0" applyFill="1"/>
    <xf numFmtId="164" fontId="0" fillId="5" borderId="0" xfId="0" applyNumberFormat="1" applyFill="1"/>
    <xf numFmtId="0" fontId="0" fillId="5" borderId="0" xfId="0" applyFill="1" applyAlignment="1">
      <alignment wrapText="1"/>
    </xf>
    <xf numFmtId="0" fontId="0" fillId="4" borderId="0" xfId="0" applyFill="1" applyAlignment="1">
      <alignment wrapText="1"/>
    </xf>
    <xf numFmtId="0" fontId="0" fillId="0" borderId="2"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 fillId="2" borderId="0" xfId="0" applyFont="1" applyFill="1" applyAlignment="1">
      <alignment vertical="center"/>
    </xf>
    <xf numFmtId="0" fontId="3" fillId="3" borderId="0" xfId="0" applyFont="1" applyFill="1"/>
    <xf numFmtId="0" fontId="4" fillId="4" borderId="0" xfId="0" applyFont="1" applyFill="1" applyAlignment="1">
      <alignment vertical="top" wrapText="1"/>
    </xf>
    <xf numFmtId="0" fontId="1" fillId="2" borderId="0" xfId="0" applyFont="1" applyFill="1"/>
    <xf numFmtId="0" fontId="5" fillId="4" borderId="0" xfId="0" applyFont="1" applyFill="1" applyAlignment="1">
      <alignment wrapText="1"/>
    </xf>
  </cellXfs>
  <cellStyles count="1">
    <cellStyle name="Normal" xfId="0" builtinId="0"/>
  </cellStyles>
  <dxfs count="5">
    <dxf>
      <font>
        <color rgb="FF9C0006"/>
      </font>
      <fill>
        <patternFill patternType="solid">
          <bgColor rgb="FFFCE4D6"/>
        </patternFill>
      </fill>
    </dxf>
    <dxf>
      <font>
        <color rgb="FF375623"/>
      </font>
      <fill>
        <patternFill patternType="solid">
          <bgColor rgb="FFE2F0D9"/>
        </patternFill>
      </fill>
    </dxf>
    <dxf>
      <font>
        <color rgb="FF7F6000"/>
      </font>
      <fill>
        <patternFill patternType="solid">
          <bgColor rgb="FFFFF2CC"/>
        </patternFill>
      </fill>
    </dxf>
    <dxf>
      <font>
        <color rgb="FF9C0006"/>
      </font>
      <fill>
        <patternFill patternType="solid">
          <bgColor rgb="FFFCE4D6"/>
        </patternFill>
      </fill>
    </dxf>
    <dxf>
      <font>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sionRiesgos" displayName="RevisionRiesgos" ref="A1:AA157" totalsRowShown="0">
  <autoFilter ref="A1:AA157" xr:uid="{00000000-000C-0000-FFFF-FFFF00000000}">
    <filterColumn colId="0">
      <filters>
        <filter val="A - Coincidencia histórica alta"/>
      </filters>
    </filterColumn>
  </autoFilter>
  <tableColumns count="27">
    <tableColumn id="1" xr3:uid="{00000000-0010-0000-0000-000001000000}" name="grupo_revision"/>
    <tableColumn id="2" xr3:uid="{00000000-0010-0000-0000-000002000000}" name="risk_id"/>
    <tableColumn id="3" xr3:uid="{00000000-0010-0000-0000-000003000000}" name="source_doc_id"/>
    <tableColumn id="4" xr3:uid="{00000000-0010-0000-0000-000004000000}" name="source_filename"/>
    <tableColumn id="5" xr3:uid="{00000000-0010-0000-0000-000005000000}" name="source_page"/>
    <tableColumn id="6" xr3:uid="{00000000-0010-0000-0000-000006000000}" name="source_chunk_id"/>
    <tableColumn id="7" xr3:uid="{00000000-0010-0000-0000-000007000000}" name="risk_name"/>
    <tableColumn id="8" xr3:uid="{00000000-0010-0000-0000-000008000000}" name="risk_category"/>
    <tableColumn id="9" xr3:uid="{00000000-0010-0000-0000-000009000000}" name="severity"/>
    <tableColumn id="10" xr3:uid="{00000000-0010-0000-0000-00000A000000}" name="probability"/>
    <tableColumn id="11" xr3:uid="{00000000-0010-0000-0000-00000B000000}" name="risk_score"/>
    <tableColumn id="12" xr3:uid="{00000000-0010-0000-0000-00000C000000}" name="risk_description"/>
    <tableColumn id="13" xr3:uid="{00000000-0010-0000-0000-00000D000000}" name="evidence"/>
    <tableColumn id="14" xr3:uid="{00000000-0010-0000-0000-00000E000000}" name="recommended_action"/>
    <tableColumn id="15" xr3:uid="{00000000-0010-0000-0000-00000F000000}" name="coincidencia_historica"/>
    <tableColumn id="16" xr3:uid="{00000000-0010-0000-0000-000010000000}" name="risk_id_historico"/>
    <tableColumn id="17" xr3:uid="{00000000-0010-0000-0000-000011000000}" name="validez_sugerida"/>
    <tableColumn id="18" xr3:uid="{00000000-0010-0000-0000-000012000000}" name="confianza_sugerencia"/>
    <tableColumn id="19" xr3:uid="{00000000-0010-0000-0000-000013000000}" name="tipo_error_sugerido"/>
    <tableColumn id="20" xr3:uid="{00000000-0010-0000-0000-000014000000}" name="riesgo_valido_manual"/>
    <tableColumn id="21" xr3:uid="{00000000-0010-0000-0000-000015000000}" name="categoria_correcta_manual"/>
    <tableColumn id="22" xr3:uid="{00000000-0010-0000-0000-000016000000}" name="tipo_error_manual"/>
    <tableColumn id="23" xr3:uid="{00000000-0010-0000-0000-000017000000}" name="evidencia_suficiente_manual"/>
    <tableColumn id="24" xr3:uid="{00000000-0010-0000-0000-000018000000}" name="causa_raiz_manual"/>
    <tableColumn id="25" xr3:uid="{00000000-0010-0000-0000-000019000000}" name="correccion_requerida_manual"/>
    <tableColumn id="26" xr3:uid="{00000000-0010-0000-0000-00001A000000}" name="comentario_evaluador"/>
    <tableColumn id="27" xr3:uid="{00000000-0010-0000-0000-00001B000000}" name="estado_revis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showGridLines="0" workbookViewId="0">
      <selection sqref="A1:F1"/>
    </sheetView>
  </sheetViews>
  <sheetFormatPr baseColWidth="10" defaultColWidth="9" defaultRowHeight="13.5"/>
  <cols>
    <col min="1" max="1" width="29" customWidth="1"/>
    <col min="2" max="2" width="14" customWidth="1"/>
    <col min="3" max="3" width="4" customWidth="1"/>
    <col min="4" max="4" width="29" customWidth="1"/>
    <col min="5" max="5" width="14" customWidth="1"/>
    <col min="6" max="6" width="12" customWidth="1"/>
  </cols>
  <sheetData>
    <row r="1" spans="1:6" ht="32" customHeight="1">
      <c r="A1" s="21" t="s">
        <v>0</v>
      </c>
      <c r="B1" s="21"/>
      <c r="C1" s="21"/>
      <c r="D1" s="21"/>
      <c r="E1" s="21"/>
      <c r="F1" s="21"/>
    </row>
    <row r="3" spans="1:6" ht="13.9">
      <c r="A3" s="1" t="s">
        <v>1</v>
      </c>
      <c r="B3" s="1" t="s">
        <v>2</v>
      </c>
      <c r="D3" s="1" t="s">
        <v>3</v>
      </c>
      <c r="E3" s="1" t="s">
        <v>2</v>
      </c>
    </row>
    <row r="4" spans="1:6">
      <c r="A4" s="2" t="s">
        <v>4</v>
      </c>
      <c r="B4" s="3">
        <v>156</v>
      </c>
      <c r="D4" s="2" t="s">
        <v>5</v>
      </c>
      <c r="E4" s="3">
        <v>96</v>
      </c>
    </row>
    <row r="5" spans="1:6">
      <c r="A5" s="4" t="s">
        <v>6</v>
      </c>
      <c r="B5" s="5">
        <v>60</v>
      </c>
      <c r="D5" s="4" t="s">
        <v>7</v>
      </c>
      <c r="E5" s="5">
        <v>62</v>
      </c>
    </row>
    <row r="6" spans="1:6">
      <c r="A6" s="4" t="s">
        <v>8</v>
      </c>
      <c r="B6" s="5">
        <v>0</v>
      </c>
      <c r="D6" s="4" t="s">
        <v>9</v>
      </c>
      <c r="E6" s="5">
        <v>34</v>
      </c>
    </row>
    <row r="7" spans="1:6">
      <c r="A7" s="4" t="s">
        <v>10</v>
      </c>
      <c r="B7" s="5">
        <v>50</v>
      </c>
      <c r="D7" s="6" t="s">
        <v>11</v>
      </c>
      <c r="E7" s="8">
        <v>0.64583333333333337</v>
      </c>
    </row>
    <row r="8" spans="1:6">
      <c r="A8" s="4" t="s">
        <v>12</v>
      </c>
      <c r="B8" s="5">
        <v>55</v>
      </c>
    </row>
    <row r="9" spans="1:6">
      <c r="A9" s="6" t="s">
        <v>13</v>
      </c>
      <c r="B9" s="7">
        <v>96</v>
      </c>
    </row>
    <row r="11" spans="1:6" ht="16.899999999999999">
      <c r="A11" s="22" t="s">
        <v>14</v>
      </c>
      <c r="B11" s="22"/>
      <c r="C11" s="22"/>
      <c r="D11" s="22"/>
      <c r="E11" s="22"/>
      <c r="F11" s="22"/>
    </row>
    <row r="13" spans="1:6">
      <c r="A13" s="2" t="s">
        <v>15</v>
      </c>
      <c r="B13" s="3">
        <f>COUNT(Revision!$T$2:$T$157)</f>
        <v>55</v>
      </c>
      <c r="D13" s="2" t="s">
        <v>16</v>
      </c>
      <c r="E13" s="3" t="s">
        <v>17</v>
      </c>
    </row>
    <row r="14" spans="1:6">
      <c r="A14" s="4" t="s">
        <v>18</v>
      </c>
      <c r="B14" s="5">
        <f>156-B13</f>
        <v>101</v>
      </c>
      <c r="D14" s="4" t="s">
        <v>19</v>
      </c>
      <c r="E14" s="5">
        <v>55</v>
      </c>
    </row>
    <row r="15" spans="1:6">
      <c r="A15" s="4" t="s">
        <v>20</v>
      </c>
      <c r="B15" s="5">
        <f>COUNTIF(Revision!$T$2:$T$157,1)</f>
        <v>52</v>
      </c>
      <c r="D15" s="4" t="s">
        <v>21</v>
      </c>
      <c r="E15" s="5">
        <v>5</v>
      </c>
    </row>
    <row r="16" spans="1:6">
      <c r="A16" s="4" t="s">
        <v>9</v>
      </c>
      <c r="B16" s="5">
        <f>B13-B15</f>
        <v>3</v>
      </c>
      <c r="D16" s="6" t="s">
        <v>22</v>
      </c>
      <c r="E16" s="7">
        <v>96</v>
      </c>
    </row>
    <row r="17" spans="1:6">
      <c r="A17" s="6" t="s">
        <v>23</v>
      </c>
      <c r="B17" s="8">
        <f>IF(B13=0,0,B15/B13)</f>
        <v>0.94545454545454544</v>
      </c>
    </row>
    <row r="19" spans="1:6">
      <c r="A19" s="23" t="s">
        <v>24</v>
      </c>
      <c r="B19" s="23"/>
      <c r="C19" s="23"/>
      <c r="D19" s="23"/>
      <c r="E19" s="23"/>
      <c r="F19" s="23"/>
    </row>
    <row r="20" spans="1:6">
      <c r="A20" s="23"/>
      <c r="B20" s="23"/>
      <c r="C20" s="23"/>
      <c r="D20" s="23"/>
      <c r="E20" s="23"/>
      <c r="F20" s="23"/>
    </row>
    <row r="21" spans="1:6">
      <c r="A21" s="23"/>
      <c r="B21" s="23"/>
      <c r="C21" s="23"/>
      <c r="D21" s="23"/>
      <c r="E21" s="23"/>
      <c r="F21" s="23"/>
    </row>
  </sheetData>
  <mergeCells count="3">
    <mergeCell ref="A1:F1"/>
    <mergeCell ref="A11:F11"/>
    <mergeCell ref="A19:F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57"/>
  <sheetViews>
    <sheetView showGridLines="0" tabSelected="1" topLeftCell="O1" zoomScale="70" zoomScaleNormal="70" workbookViewId="0">
      <selection activeCell="X39" sqref="X39"/>
    </sheetView>
  </sheetViews>
  <sheetFormatPr baseColWidth="10" defaultColWidth="9" defaultRowHeight="13.5"/>
  <cols>
    <col min="1" max="1" width="29" customWidth="1"/>
    <col min="2" max="3" width="12" customWidth="1"/>
    <col min="4" max="4" width="42" customWidth="1"/>
    <col min="5" max="5" width="10" customWidth="1"/>
    <col min="6" max="6" width="23" customWidth="1"/>
    <col min="7" max="7" width="28" customWidth="1"/>
    <col min="8" max="8" width="22" customWidth="1"/>
    <col min="9" max="9" width="11" customWidth="1"/>
    <col min="10" max="10" width="12" customWidth="1"/>
    <col min="11" max="11" width="10" customWidth="1"/>
    <col min="12" max="12" width="45" customWidth="1"/>
    <col min="13" max="13" width="55" customWidth="1"/>
    <col min="14" max="14" width="45" customWidth="1"/>
    <col min="15" max="16" width="15" customWidth="1"/>
    <col min="17" max="17" width="14" customWidth="1"/>
    <col min="18" max="18" width="16" customWidth="1"/>
    <col min="19" max="19" width="24" customWidth="1"/>
    <col min="20" max="20" width="18" customWidth="1"/>
    <col min="21" max="21" width="20" customWidth="1"/>
    <col min="22" max="22" width="25" customWidth="1"/>
    <col min="23" max="23" width="20" customWidth="1"/>
    <col min="24" max="24" width="38" customWidth="1"/>
    <col min="25" max="25" width="42" customWidth="1"/>
    <col min="26" max="26" width="38" customWidth="1"/>
    <col min="27" max="27" width="18" customWidth="1"/>
  </cols>
  <sheetData>
    <row r="1" spans="1:27" ht="36" customHeight="1">
      <c r="A1" s="10" t="s">
        <v>25</v>
      </c>
      <c r="B1" s="10" t="s">
        <v>26</v>
      </c>
      <c r="C1" s="10" t="s">
        <v>27</v>
      </c>
      <c r="D1" s="10" t="s">
        <v>28</v>
      </c>
      <c r="E1" s="10" t="s">
        <v>29</v>
      </c>
      <c r="F1" s="10" t="s">
        <v>30</v>
      </c>
      <c r="G1" s="10" t="s">
        <v>31</v>
      </c>
      <c r="H1" s="10" t="s">
        <v>32</v>
      </c>
      <c r="I1" s="10" t="s">
        <v>33</v>
      </c>
      <c r="J1" s="10" t="s">
        <v>34</v>
      </c>
      <c r="K1" s="10" t="s">
        <v>35</v>
      </c>
      <c r="L1" s="10" t="s">
        <v>36</v>
      </c>
      <c r="M1" s="10" t="s">
        <v>37</v>
      </c>
      <c r="N1" s="10" t="s">
        <v>38</v>
      </c>
      <c r="O1" s="10" t="s">
        <v>39</v>
      </c>
      <c r="P1" s="10" t="s">
        <v>40</v>
      </c>
      <c r="Q1" s="10" t="s">
        <v>41</v>
      </c>
      <c r="R1" s="10" t="s">
        <v>42</v>
      </c>
      <c r="S1" s="10" t="s">
        <v>43</v>
      </c>
      <c r="T1" s="10" t="s">
        <v>44</v>
      </c>
      <c r="U1" s="10" t="s">
        <v>45</v>
      </c>
      <c r="V1" s="10" t="s">
        <v>46</v>
      </c>
      <c r="W1" s="10" t="s">
        <v>47</v>
      </c>
      <c r="X1" s="10" t="s">
        <v>48</v>
      </c>
      <c r="Y1" s="10" t="s">
        <v>49</v>
      </c>
      <c r="Z1" s="10" t="s">
        <v>50</v>
      </c>
      <c r="AA1" s="10" t="s">
        <v>51</v>
      </c>
    </row>
    <row r="2" spans="1:27" ht="27">
      <c r="A2" s="11" t="s">
        <v>52</v>
      </c>
      <c r="B2" s="11" t="s">
        <v>53</v>
      </c>
      <c r="C2" s="11" t="s">
        <v>54</v>
      </c>
      <c r="D2" s="11" t="s">
        <v>55</v>
      </c>
      <c r="E2" s="11">
        <v>1</v>
      </c>
      <c r="F2" s="11" t="s">
        <v>56</v>
      </c>
      <c r="G2" s="11" t="s">
        <v>57</v>
      </c>
      <c r="H2" s="11" t="s">
        <v>58</v>
      </c>
      <c r="I2" s="11" t="s">
        <v>59</v>
      </c>
      <c r="J2" s="11" t="s">
        <v>60</v>
      </c>
      <c r="K2" s="11">
        <v>6</v>
      </c>
      <c r="L2" s="13" t="s">
        <v>61</v>
      </c>
      <c r="M2" s="13" t="s">
        <v>62</v>
      </c>
      <c r="N2" s="13" t="s">
        <v>63</v>
      </c>
      <c r="O2" s="12">
        <v>1</v>
      </c>
      <c r="P2" s="11" t="s">
        <v>53</v>
      </c>
      <c r="Q2" s="11">
        <v>1</v>
      </c>
      <c r="R2" s="11" t="s">
        <v>60</v>
      </c>
      <c r="S2" s="11" t="s">
        <v>64</v>
      </c>
      <c r="T2" s="9">
        <v>1</v>
      </c>
      <c r="U2" s="9">
        <v>1</v>
      </c>
      <c r="V2" s="9"/>
      <c r="W2" s="9"/>
      <c r="X2" s="14"/>
      <c r="Y2" s="14"/>
      <c r="Z2" s="14"/>
      <c r="AA2" t="str">
        <f t="shared" ref="AA2:AA33" si="0">IF(T2="","Pendiente",IF(T2=1,"Válido","Falso positivo"))</f>
        <v>Válido</v>
      </c>
    </row>
    <row r="3" spans="1:27" ht="40.5">
      <c r="A3" s="11" t="s">
        <v>52</v>
      </c>
      <c r="B3" s="11" t="s">
        <v>65</v>
      </c>
      <c r="C3" s="11" t="s">
        <v>54</v>
      </c>
      <c r="D3" s="11" t="s">
        <v>55</v>
      </c>
      <c r="E3" s="11">
        <v>2</v>
      </c>
      <c r="F3" s="11" t="s">
        <v>66</v>
      </c>
      <c r="G3" s="11" t="s">
        <v>67</v>
      </c>
      <c r="H3" s="11" t="s">
        <v>58</v>
      </c>
      <c r="I3" s="11" t="s">
        <v>59</v>
      </c>
      <c r="J3" s="11" t="s">
        <v>59</v>
      </c>
      <c r="K3" s="11">
        <v>4</v>
      </c>
      <c r="L3" s="13" t="s">
        <v>68</v>
      </c>
      <c r="M3" s="13" t="s">
        <v>69</v>
      </c>
      <c r="N3" s="13" t="s">
        <v>70</v>
      </c>
      <c r="O3" s="12">
        <v>1</v>
      </c>
      <c r="P3" s="11" t="s">
        <v>65</v>
      </c>
      <c r="Q3" s="11">
        <v>1</v>
      </c>
      <c r="R3" s="11" t="s">
        <v>60</v>
      </c>
      <c r="S3" s="11" t="s">
        <v>64</v>
      </c>
      <c r="T3" s="9">
        <v>0</v>
      </c>
      <c r="U3" s="9">
        <v>0</v>
      </c>
      <c r="V3" s="9" t="s">
        <v>128</v>
      </c>
      <c r="W3" s="9">
        <v>0</v>
      </c>
      <c r="X3" s="14"/>
      <c r="Y3" s="14"/>
      <c r="Z3" s="14"/>
      <c r="AA3" t="str">
        <f t="shared" si="0"/>
        <v>Falso positivo</v>
      </c>
    </row>
    <row r="4" spans="1:27" ht="40.5">
      <c r="A4" s="11" t="s">
        <v>52</v>
      </c>
      <c r="B4" s="11" t="s">
        <v>71</v>
      </c>
      <c r="C4" s="11" t="s">
        <v>54</v>
      </c>
      <c r="D4" s="11" t="s">
        <v>55</v>
      </c>
      <c r="E4" s="11">
        <v>2</v>
      </c>
      <c r="F4" s="11" t="s">
        <v>66</v>
      </c>
      <c r="G4" s="11" t="s">
        <v>72</v>
      </c>
      <c r="H4" s="11" t="s">
        <v>58</v>
      </c>
      <c r="I4" s="11" t="s">
        <v>59</v>
      </c>
      <c r="J4" s="11" t="s">
        <v>59</v>
      </c>
      <c r="K4" s="11">
        <v>4</v>
      </c>
      <c r="L4" s="13" t="s">
        <v>73</v>
      </c>
      <c r="M4" s="13" t="s">
        <v>74</v>
      </c>
      <c r="N4" s="13" t="s">
        <v>75</v>
      </c>
      <c r="O4" s="12">
        <v>1</v>
      </c>
      <c r="P4" s="11" t="s">
        <v>71</v>
      </c>
      <c r="Q4" s="11">
        <v>1</v>
      </c>
      <c r="R4" s="11" t="s">
        <v>60</v>
      </c>
      <c r="S4" s="11" t="s">
        <v>64</v>
      </c>
      <c r="T4" s="9">
        <v>1</v>
      </c>
      <c r="U4" s="9">
        <v>1</v>
      </c>
      <c r="V4" s="9"/>
      <c r="W4" s="9"/>
      <c r="X4" s="14"/>
      <c r="Y4" s="14"/>
      <c r="Z4" s="14"/>
      <c r="AA4" t="str">
        <f t="shared" si="0"/>
        <v>Válido</v>
      </c>
    </row>
    <row r="5" spans="1:27" ht="40.5">
      <c r="A5" s="11" t="s">
        <v>52</v>
      </c>
      <c r="B5" s="11" t="s">
        <v>76</v>
      </c>
      <c r="C5" s="11" t="s">
        <v>54</v>
      </c>
      <c r="D5" s="11" t="s">
        <v>55</v>
      </c>
      <c r="E5" s="11">
        <v>3</v>
      </c>
      <c r="F5" s="11" t="s">
        <v>77</v>
      </c>
      <c r="G5" s="11" t="s">
        <v>78</v>
      </c>
      <c r="H5" s="11" t="s">
        <v>58</v>
      </c>
      <c r="I5" s="11" t="s">
        <v>60</v>
      </c>
      <c r="J5" s="11" t="s">
        <v>59</v>
      </c>
      <c r="K5" s="11">
        <v>6</v>
      </c>
      <c r="L5" s="13" t="s">
        <v>79</v>
      </c>
      <c r="M5" s="13" t="s">
        <v>80</v>
      </c>
      <c r="N5" s="13" t="s">
        <v>81</v>
      </c>
      <c r="O5" s="12">
        <v>1</v>
      </c>
      <c r="P5" s="11" t="s">
        <v>76</v>
      </c>
      <c r="Q5" s="11">
        <v>1</v>
      </c>
      <c r="R5" s="11" t="s">
        <v>60</v>
      </c>
      <c r="S5" s="11" t="s">
        <v>64</v>
      </c>
      <c r="T5" s="9">
        <v>1</v>
      </c>
      <c r="U5" s="9">
        <v>1</v>
      </c>
      <c r="V5" s="9"/>
      <c r="W5" s="9"/>
      <c r="X5" s="14"/>
      <c r="Y5" s="14"/>
      <c r="Z5" s="14"/>
      <c r="AA5" t="str">
        <f t="shared" si="0"/>
        <v>Válido</v>
      </c>
    </row>
    <row r="6" spans="1:27" ht="27">
      <c r="A6" s="11" t="s">
        <v>52</v>
      </c>
      <c r="B6" s="11" t="s">
        <v>82</v>
      </c>
      <c r="C6" s="11" t="s">
        <v>54</v>
      </c>
      <c r="D6" s="11" t="s">
        <v>55</v>
      </c>
      <c r="E6" s="11">
        <v>3</v>
      </c>
      <c r="F6" s="11" t="s">
        <v>77</v>
      </c>
      <c r="G6" s="11" t="s">
        <v>83</v>
      </c>
      <c r="H6" s="11" t="s">
        <v>58</v>
      </c>
      <c r="I6" s="11" t="s">
        <v>59</v>
      </c>
      <c r="J6" s="11" t="s">
        <v>59</v>
      </c>
      <c r="K6" s="11">
        <v>4</v>
      </c>
      <c r="L6" s="13" t="s">
        <v>84</v>
      </c>
      <c r="M6" s="13" t="s">
        <v>85</v>
      </c>
      <c r="N6" s="13" t="s">
        <v>86</v>
      </c>
      <c r="O6" s="12">
        <v>1</v>
      </c>
      <c r="P6" s="11" t="s">
        <v>82</v>
      </c>
      <c r="Q6" s="11">
        <v>1</v>
      </c>
      <c r="R6" s="11" t="s">
        <v>60</v>
      </c>
      <c r="S6" s="11" t="s">
        <v>64</v>
      </c>
      <c r="T6" s="9">
        <v>1</v>
      </c>
      <c r="U6" s="9">
        <v>1</v>
      </c>
      <c r="V6" s="9"/>
      <c r="W6" s="9"/>
      <c r="X6" s="14"/>
      <c r="Y6" s="14"/>
      <c r="Z6" s="14"/>
      <c r="AA6" t="str">
        <f t="shared" si="0"/>
        <v>Válido</v>
      </c>
    </row>
    <row r="7" spans="1:27" ht="27">
      <c r="A7" s="11" t="s">
        <v>52</v>
      </c>
      <c r="B7" s="11" t="s">
        <v>87</v>
      </c>
      <c r="C7" s="11" t="s">
        <v>54</v>
      </c>
      <c r="D7" s="11" t="s">
        <v>55</v>
      </c>
      <c r="E7" s="11">
        <v>3</v>
      </c>
      <c r="F7" s="11" t="s">
        <v>77</v>
      </c>
      <c r="G7" s="11" t="s">
        <v>88</v>
      </c>
      <c r="H7" s="11" t="s">
        <v>89</v>
      </c>
      <c r="I7" s="11" t="s">
        <v>59</v>
      </c>
      <c r="J7" s="11" t="s">
        <v>59</v>
      </c>
      <c r="K7" s="11">
        <v>4</v>
      </c>
      <c r="L7" s="13" t="s">
        <v>90</v>
      </c>
      <c r="M7" s="13" t="s">
        <v>91</v>
      </c>
      <c r="N7" s="13" t="s">
        <v>92</v>
      </c>
      <c r="O7" s="12">
        <v>1</v>
      </c>
      <c r="P7" s="11" t="s">
        <v>87</v>
      </c>
      <c r="Q7" s="11">
        <v>1</v>
      </c>
      <c r="R7" s="11" t="s">
        <v>60</v>
      </c>
      <c r="S7" s="11" t="s">
        <v>64</v>
      </c>
      <c r="T7" s="9">
        <v>1</v>
      </c>
      <c r="U7" s="9">
        <v>1</v>
      </c>
      <c r="V7" s="9"/>
      <c r="W7" s="9"/>
      <c r="X7" s="14"/>
      <c r="Y7" s="14"/>
      <c r="Z7" s="14"/>
      <c r="AA7" t="str">
        <f t="shared" si="0"/>
        <v>Válido</v>
      </c>
    </row>
    <row r="8" spans="1:27" ht="27">
      <c r="A8" s="11" t="s">
        <v>52</v>
      </c>
      <c r="B8" s="11" t="s">
        <v>93</v>
      </c>
      <c r="C8" s="11" t="s">
        <v>54</v>
      </c>
      <c r="D8" s="11" t="s">
        <v>55</v>
      </c>
      <c r="E8" s="11">
        <v>3</v>
      </c>
      <c r="F8" s="11" t="s">
        <v>94</v>
      </c>
      <c r="G8" s="11" t="s">
        <v>95</v>
      </c>
      <c r="H8" s="11" t="s">
        <v>58</v>
      </c>
      <c r="I8" s="11" t="s">
        <v>60</v>
      </c>
      <c r="J8" s="11" t="s">
        <v>59</v>
      </c>
      <c r="K8" s="11">
        <v>6</v>
      </c>
      <c r="L8" s="13" t="s">
        <v>96</v>
      </c>
      <c r="M8" s="13" t="s">
        <v>97</v>
      </c>
      <c r="N8" s="13" t="s">
        <v>98</v>
      </c>
      <c r="O8" s="12">
        <v>1</v>
      </c>
      <c r="P8" s="11" t="s">
        <v>93</v>
      </c>
      <c r="Q8" s="11">
        <v>1</v>
      </c>
      <c r="R8" s="11" t="s">
        <v>60</v>
      </c>
      <c r="S8" s="11" t="s">
        <v>64</v>
      </c>
      <c r="T8" s="9">
        <v>1</v>
      </c>
      <c r="U8" s="9">
        <v>1</v>
      </c>
      <c r="V8" s="9"/>
      <c r="W8" s="9"/>
      <c r="X8" s="14"/>
      <c r="Y8" s="14"/>
      <c r="Z8" s="14"/>
      <c r="AA8" t="str">
        <f t="shared" si="0"/>
        <v>Válido</v>
      </c>
    </row>
    <row r="9" spans="1:27" ht="40.5">
      <c r="A9" s="11" t="s">
        <v>52</v>
      </c>
      <c r="B9" s="11" t="s">
        <v>99</v>
      </c>
      <c r="C9" s="11" t="s">
        <v>54</v>
      </c>
      <c r="D9" s="11" t="s">
        <v>55</v>
      </c>
      <c r="E9" s="11">
        <v>3</v>
      </c>
      <c r="F9" s="11" t="s">
        <v>94</v>
      </c>
      <c r="G9" s="11" t="s">
        <v>100</v>
      </c>
      <c r="H9" s="11" t="s">
        <v>89</v>
      </c>
      <c r="I9" s="11" t="s">
        <v>59</v>
      </c>
      <c r="J9" s="11" t="s">
        <v>60</v>
      </c>
      <c r="K9" s="11">
        <v>6</v>
      </c>
      <c r="L9" s="13" t="s">
        <v>101</v>
      </c>
      <c r="M9" s="13" t="s">
        <v>102</v>
      </c>
      <c r="N9" s="13" t="s">
        <v>103</v>
      </c>
      <c r="O9" s="12">
        <v>1</v>
      </c>
      <c r="P9" s="11" t="s">
        <v>99</v>
      </c>
      <c r="Q9" s="11">
        <v>1</v>
      </c>
      <c r="R9" s="11" t="s">
        <v>60</v>
      </c>
      <c r="S9" s="11" t="s">
        <v>64</v>
      </c>
      <c r="T9" s="9">
        <v>1</v>
      </c>
      <c r="U9" s="9">
        <v>1</v>
      </c>
      <c r="V9" s="9"/>
      <c r="W9" s="9"/>
      <c r="X9" s="14"/>
      <c r="Y9" s="14"/>
      <c r="Z9" s="14"/>
      <c r="AA9" t="str">
        <f t="shared" si="0"/>
        <v>Válido</v>
      </c>
    </row>
    <row r="10" spans="1:27" ht="40.5">
      <c r="A10" s="11" t="s">
        <v>52</v>
      </c>
      <c r="B10" s="11" t="s">
        <v>104</v>
      </c>
      <c r="C10" s="11" t="s">
        <v>54</v>
      </c>
      <c r="D10" s="11" t="s">
        <v>55</v>
      </c>
      <c r="E10" s="11">
        <v>4</v>
      </c>
      <c r="F10" s="11" t="s">
        <v>105</v>
      </c>
      <c r="G10" s="11" t="s">
        <v>106</v>
      </c>
      <c r="H10" s="11" t="s">
        <v>58</v>
      </c>
      <c r="I10" s="11" t="s">
        <v>60</v>
      </c>
      <c r="J10" s="11" t="s">
        <v>59</v>
      </c>
      <c r="K10" s="11">
        <v>6</v>
      </c>
      <c r="L10" s="13" t="s">
        <v>107</v>
      </c>
      <c r="M10" s="13" t="s">
        <v>108</v>
      </c>
      <c r="N10" s="13" t="s">
        <v>109</v>
      </c>
      <c r="O10" s="12">
        <v>1</v>
      </c>
      <c r="P10" s="11" t="s">
        <v>104</v>
      </c>
      <c r="Q10" s="11">
        <v>1</v>
      </c>
      <c r="R10" s="11" t="s">
        <v>60</v>
      </c>
      <c r="S10" s="11" t="s">
        <v>64</v>
      </c>
      <c r="T10" s="9">
        <v>1</v>
      </c>
      <c r="U10" s="9">
        <v>1</v>
      </c>
      <c r="V10" s="9"/>
      <c r="W10" s="9"/>
      <c r="X10" s="14"/>
      <c r="Y10" s="14"/>
      <c r="Z10" s="14"/>
      <c r="AA10" t="str">
        <f t="shared" si="0"/>
        <v>Válido</v>
      </c>
    </row>
    <row r="11" spans="1:27" ht="54">
      <c r="A11" s="11" t="s">
        <v>52</v>
      </c>
      <c r="B11" s="11" t="s">
        <v>110</v>
      </c>
      <c r="C11" s="11" t="s">
        <v>54</v>
      </c>
      <c r="D11" s="11" t="s">
        <v>55</v>
      </c>
      <c r="E11" s="11">
        <v>4</v>
      </c>
      <c r="F11" s="11" t="s">
        <v>105</v>
      </c>
      <c r="G11" s="11" t="s">
        <v>111</v>
      </c>
      <c r="H11" s="11" t="s">
        <v>112</v>
      </c>
      <c r="I11" s="11" t="s">
        <v>60</v>
      </c>
      <c r="J11" s="11" t="s">
        <v>59</v>
      </c>
      <c r="K11" s="11">
        <v>6</v>
      </c>
      <c r="L11" s="13" t="s">
        <v>113</v>
      </c>
      <c r="M11" s="13" t="s">
        <v>114</v>
      </c>
      <c r="N11" s="13" t="s">
        <v>115</v>
      </c>
      <c r="O11" s="12">
        <v>1</v>
      </c>
      <c r="P11" s="11" t="s">
        <v>110</v>
      </c>
      <c r="Q11" s="11">
        <v>1</v>
      </c>
      <c r="R11" s="11" t="s">
        <v>60</v>
      </c>
      <c r="S11" s="11" t="s">
        <v>64</v>
      </c>
      <c r="T11" s="9">
        <v>1</v>
      </c>
      <c r="U11" s="9">
        <v>1</v>
      </c>
      <c r="V11" s="9"/>
      <c r="W11" s="9"/>
      <c r="X11" s="14"/>
      <c r="Y11" s="14"/>
      <c r="Z11" s="14"/>
      <c r="AA11" t="str">
        <f t="shared" si="0"/>
        <v>Válido</v>
      </c>
    </row>
    <row r="12" spans="1:27" ht="40.5">
      <c r="A12" s="11" t="s">
        <v>52</v>
      </c>
      <c r="B12" s="11" t="s">
        <v>116</v>
      </c>
      <c r="C12" s="11" t="s">
        <v>54</v>
      </c>
      <c r="D12" s="11" t="s">
        <v>55</v>
      </c>
      <c r="E12" s="11">
        <v>4</v>
      </c>
      <c r="F12" s="11" t="s">
        <v>105</v>
      </c>
      <c r="G12" s="11" t="s">
        <v>117</v>
      </c>
      <c r="H12" s="11" t="s">
        <v>118</v>
      </c>
      <c r="I12" s="11" t="s">
        <v>59</v>
      </c>
      <c r="J12" s="11" t="s">
        <v>60</v>
      </c>
      <c r="K12" s="11">
        <v>6</v>
      </c>
      <c r="L12" s="13" t="s">
        <v>119</v>
      </c>
      <c r="M12" s="13" t="s">
        <v>120</v>
      </c>
      <c r="N12" s="13" t="s">
        <v>121</v>
      </c>
      <c r="O12" s="12">
        <v>1</v>
      </c>
      <c r="P12" s="11" t="s">
        <v>116</v>
      </c>
      <c r="Q12" s="11">
        <v>1</v>
      </c>
      <c r="R12" s="11" t="s">
        <v>60</v>
      </c>
      <c r="S12" s="11" t="s">
        <v>64</v>
      </c>
      <c r="T12" s="9">
        <v>1</v>
      </c>
      <c r="U12" s="9">
        <v>1</v>
      </c>
      <c r="V12" s="9"/>
      <c r="W12" s="9"/>
      <c r="X12" s="14"/>
      <c r="Y12" s="14"/>
      <c r="Z12" s="14"/>
      <c r="AA12" t="str">
        <f t="shared" si="0"/>
        <v>Válido</v>
      </c>
    </row>
    <row r="13" spans="1:27" ht="27">
      <c r="A13" s="11" t="s">
        <v>52</v>
      </c>
      <c r="B13" s="11" t="s">
        <v>122</v>
      </c>
      <c r="C13" s="11" t="s">
        <v>54</v>
      </c>
      <c r="D13" s="11" t="s">
        <v>55</v>
      </c>
      <c r="E13" s="11">
        <v>5</v>
      </c>
      <c r="F13" s="11" t="s">
        <v>123</v>
      </c>
      <c r="G13" s="11" t="s">
        <v>124</v>
      </c>
      <c r="H13" s="11" t="s">
        <v>89</v>
      </c>
      <c r="I13" s="11" t="s">
        <v>59</v>
      </c>
      <c r="J13" s="11" t="s">
        <v>59</v>
      </c>
      <c r="K13" s="11">
        <v>4</v>
      </c>
      <c r="L13" s="13" t="s">
        <v>125</v>
      </c>
      <c r="M13" s="13" t="s">
        <v>126</v>
      </c>
      <c r="N13" s="13" t="s">
        <v>127</v>
      </c>
      <c r="O13" s="12">
        <v>1</v>
      </c>
      <c r="P13" s="11" t="s">
        <v>122</v>
      </c>
      <c r="Q13" s="11">
        <v>1</v>
      </c>
      <c r="R13" s="11" t="s">
        <v>60</v>
      </c>
      <c r="S13" s="11" t="s">
        <v>128</v>
      </c>
      <c r="T13" s="9">
        <v>0</v>
      </c>
      <c r="U13" s="9">
        <v>0</v>
      </c>
      <c r="V13" s="9" t="s">
        <v>910</v>
      </c>
      <c r="W13" s="9">
        <v>1</v>
      </c>
      <c r="X13" s="14"/>
      <c r="Y13" s="14"/>
      <c r="Z13" s="14"/>
      <c r="AA13" t="str">
        <f t="shared" si="0"/>
        <v>Falso positivo</v>
      </c>
    </row>
    <row r="14" spans="1:27" ht="27">
      <c r="A14" s="11" t="s">
        <v>52</v>
      </c>
      <c r="B14" s="11" t="s">
        <v>129</v>
      </c>
      <c r="C14" s="11" t="s">
        <v>54</v>
      </c>
      <c r="D14" s="11" t="s">
        <v>55</v>
      </c>
      <c r="E14" s="11">
        <v>5</v>
      </c>
      <c r="F14" s="11" t="s">
        <v>123</v>
      </c>
      <c r="G14" s="11" t="s">
        <v>130</v>
      </c>
      <c r="H14" s="11" t="s">
        <v>131</v>
      </c>
      <c r="I14" s="11" t="s">
        <v>60</v>
      </c>
      <c r="J14" s="11" t="s">
        <v>59</v>
      </c>
      <c r="K14" s="11">
        <v>6</v>
      </c>
      <c r="L14" s="13" t="s">
        <v>132</v>
      </c>
      <c r="M14" s="13" t="s">
        <v>133</v>
      </c>
      <c r="N14" s="13" t="s">
        <v>134</v>
      </c>
      <c r="O14" s="12">
        <v>1</v>
      </c>
      <c r="P14" s="11" t="s">
        <v>129</v>
      </c>
      <c r="Q14" s="11">
        <v>1</v>
      </c>
      <c r="R14" s="11" t="s">
        <v>60</v>
      </c>
      <c r="S14" s="11" t="s">
        <v>64</v>
      </c>
      <c r="T14" s="9">
        <v>1</v>
      </c>
      <c r="U14" s="9">
        <v>1</v>
      </c>
      <c r="V14" s="9"/>
      <c r="W14" s="9"/>
      <c r="X14" s="14"/>
      <c r="Y14" s="14"/>
      <c r="Z14" s="14"/>
      <c r="AA14" t="str">
        <f t="shared" si="0"/>
        <v>Válido</v>
      </c>
    </row>
    <row r="15" spans="1:27" ht="27">
      <c r="A15" s="11" t="s">
        <v>52</v>
      </c>
      <c r="B15" s="11" t="s">
        <v>135</v>
      </c>
      <c r="C15" s="11" t="s">
        <v>54</v>
      </c>
      <c r="D15" s="11" t="s">
        <v>55</v>
      </c>
      <c r="E15" s="11">
        <v>5</v>
      </c>
      <c r="F15" s="11" t="s">
        <v>136</v>
      </c>
      <c r="G15" s="11" t="s">
        <v>137</v>
      </c>
      <c r="H15" s="11" t="s">
        <v>58</v>
      </c>
      <c r="I15" s="11" t="s">
        <v>59</v>
      </c>
      <c r="J15" s="11" t="s">
        <v>60</v>
      </c>
      <c r="K15" s="11">
        <v>6</v>
      </c>
      <c r="L15" s="13" t="s">
        <v>138</v>
      </c>
      <c r="M15" s="13" t="s">
        <v>139</v>
      </c>
      <c r="N15" s="13" t="s">
        <v>140</v>
      </c>
      <c r="O15" s="12">
        <v>1</v>
      </c>
      <c r="P15" s="11" t="s">
        <v>135</v>
      </c>
      <c r="Q15" s="11">
        <v>1</v>
      </c>
      <c r="R15" s="11" t="s">
        <v>60</v>
      </c>
      <c r="S15" s="11" t="s">
        <v>64</v>
      </c>
      <c r="T15" s="9">
        <v>1</v>
      </c>
      <c r="U15" s="9">
        <v>1</v>
      </c>
      <c r="V15" s="9"/>
      <c r="W15" s="9"/>
      <c r="X15" s="14"/>
      <c r="Y15" s="14"/>
      <c r="Z15" s="14"/>
      <c r="AA15" t="str">
        <f t="shared" si="0"/>
        <v>Válido</v>
      </c>
    </row>
    <row r="16" spans="1:27" ht="40.5">
      <c r="A16" s="11" t="s">
        <v>52</v>
      </c>
      <c r="B16" s="11" t="s">
        <v>141</v>
      </c>
      <c r="C16" s="11" t="s">
        <v>54</v>
      </c>
      <c r="D16" s="11" t="s">
        <v>55</v>
      </c>
      <c r="E16" s="11">
        <v>6</v>
      </c>
      <c r="F16" s="11" t="s">
        <v>142</v>
      </c>
      <c r="G16" s="11" t="s">
        <v>143</v>
      </c>
      <c r="H16" s="11" t="s">
        <v>118</v>
      </c>
      <c r="I16" s="11" t="s">
        <v>60</v>
      </c>
      <c r="J16" s="11" t="s">
        <v>59</v>
      </c>
      <c r="K16" s="11">
        <v>6</v>
      </c>
      <c r="L16" s="13" t="s">
        <v>144</v>
      </c>
      <c r="M16" s="13" t="s">
        <v>145</v>
      </c>
      <c r="N16" s="13" t="s">
        <v>146</v>
      </c>
      <c r="O16" s="12">
        <v>1</v>
      </c>
      <c r="P16" s="11" t="s">
        <v>141</v>
      </c>
      <c r="Q16" s="11">
        <v>1</v>
      </c>
      <c r="R16" s="11" t="s">
        <v>60</v>
      </c>
      <c r="S16" s="11" t="s">
        <v>64</v>
      </c>
      <c r="T16" s="9">
        <v>1</v>
      </c>
      <c r="U16" s="9">
        <v>1</v>
      </c>
      <c r="V16" s="9"/>
      <c r="W16" s="9"/>
      <c r="X16" s="14"/>
      <c r="Y16" s="14"/>
      <c r="Z16" s="14"/>
      <c r="AA16" t="str">
        <f t="shared" si="0"/>
        <v>Válido</v>
      </c>
    </row>
    <row r="17" spans="1:27" ht="40.5">
      <c r="A17" s="11" t="s">
        <v>52</v>
      </c>
      <c r="B17" s="11" t="s">
        <v>147</v>
      </c>
      <c r="C17" s="11" t="s">
        <v>54</v>
      </c>
      <c r="D17" s="11" t="s">
        <v>55</v>
      </c>
      <c r="E17" s="11">
        <v>6</v>
      </c>
      <c r="F17" s="11" t="s">
        <v>142</v>
      </c>
      <c r="G17" s="11" t="s">
        <v>148</v>
      </c>
      <c r="H17" s="11" t="s">
        <v>89</v>
      </c>
      <c r="I17" s="11" t="s">
        <v>60</v>
      </c>
      <c r="J17" s="11" t="s">
        <v>60</v>
      </c>
      <c r="K17" s="11">
        <v>9</v>
      </c>
      <c r="L17" s="13" t="s">
        <v>149</v>
      </c>
      <c r="M17" s="13" t="s">
        <v>150</v>
      </c>
      <c r="N17" s="13" t="s">
        <v>151</v>
      </c>
      <c r="O17" s="12">
        <v>1</v>
      </c>
      <c r="P17" s="11" t="s">
        <v>147</v>
      </c>
      <c r="Q17" s="11">
        <v>1</v>
      </c>
      <c r="R17" s="11" t="s">
        <v>60</v>
      </c>
      <c r="S17" s="11" t="s">
        <v>128</v>
      </c>
      <c r="T17" s="9">
        <v>1</v>
      </c>
      <c r="U17" s="9">
        <v>1</v>
      </c>
      <c r="V17" s="9"/>
      <c r="W17" s="9"/>
      <c r="X17" s="14"/>
      <c r="Y17" s="14"/>
      <c r="Z17" s="14"/>
      <c r="AA17" t="str">
        <f t="shared" si="0"/>
        <v>Válido</v>
      </c>
    </row>
    <row r="18" spans="1:27" ht="27">
      <c r="A18" s="11" t="s">
        <v>52</v>
      </c>
      <c r="B18" s="11" t="s">
        <v>152</v>
      </c>
      <c r="C18" s="11" t="s">
        <v>54</v>
      </c>
      <c r="D18" s="11" t="s">
        <v>55</v>
      </c>
      <c r="E18" s="11">
        <v>6</v>
      </c>
      <c r="F18" s="11" t="s">
        <v>153</v>
      </c>
      <c r="G18" s="11" t="s">
        <v>154</v>
      </c>
      <c r="H18" s="11" t="s">
        <v>155</v>
      </c>
      <c r="I18" s="11" t="s">
        <v>59</v>
      </c>
      <c r="J18" s="11" t="s">
        <v>60</v>
      </c>
      <c r="K18" s="11">
        <v>6</v>
      </c>
      <c r="L18" s="13" t="s">
        <v>156</v>
      </c>
      <c r="M18" s="13" t="s">
        <v>157</v>
      </c>
      <c r="N18" s="13" t="s">
        <v>158</v>
      </c>
      <c r="O18" s="12">
        <v>1</v>
      </c>
      <c r="P18" s="11" t="s">
        <v>152</v>
      </c>
      <c r="Q18" s="11">
        <v>1</v>
      </c>
      <c r="R18" s="11" t="s">
        <v>60</v>
      </c>
      <c r="S18" s="11" t="s">
        <v>159</v>
      </c>
      <c r="T18" s="9">
        <v>1</v>
      </c>
      <c r="U18" s="9">
        <v>1</v>
      </c>
      <c r="V18" s="9"/>
      <c r="W18" s="9"/>
      <c r="X18" s="14"/>
      <c r="Y18" s="14"/>
      <c r="Z18" s="14"/>
      <c r="AA18" t="str">
        <f t="shared" si="0"/>
        <v>Válido</v>
      </c>
    </row>
    <row r="19" spans="1:27" ht="27">
      <c r="A19" s="11" t="s">
        <v>52</v>
      </c>
      <c r="B19" s="11" t="s">
        <v>160</v>
      </c>
      <c r="C19" s="11" t="s">
        <v>54</v>
      </c>
      <c r="D19" s="11" t="s">
        <v>55</v>
      </c>
      <c r="E19" s="11">
        <v>7</v>
      </c>
      <c r="F19" s="11" t="s">
        <v>161</v>
      </c>
      <c r="G19" s="11" t="s">
        <v>162</v>
      </c>
      <c r="H19" s="11" t="s">
        <v>155</v>
      </c>
      <c r="I19" s="11" t="s">
        <v>59</v>
      </c>
      <c r="J19" s="11" t="s">
        <v>59</v>
      </c>
      <c r="K19" s="11">
        <v>4</v>
      </c>
      <c r="L19" s="13" t="s">
        <v>163</v>
      </c>
      <c r="M19" s="13" t="s">
        <v>164</v>
      </c>
      <c r="N19" s="13" t="s">
        <v>165</v>
      </c>
      <c r="O19" s="12">
        <v>1</v>
      </c>
      <c r="P19" s="11" t="s">
        <v>166</v>
      </c>
      <c r="Q19" s="11">
        <v>1</v>
      </c>
      <c r="R19" s="11" t="s">
        <v>60</v>
      </c>
      <c r="S19" s="11" t="s">
        <v>64</v>
      </c>
      <c r="T19" s="9">
        <v>1</v>
      </c>
      <c r="U19" s="9">
        <v>1</v>
      </c>
      <c r="V19" s="9"/>
      <c r="W19" s="9"/>
      <c r="X19" s="14"/>
      <c r="Y19" s="14"/>
      <c r="Z19" s="14"/>
      <c r="AA19" t="str">
        <f t="shared" si="0"/>
        <v>Válido</v>
      </c>
    </row>
    <row r="20" spans="1:27" ht="40.5">
      <c r="A20" s="11" t="s">
        <v>52</v>
      </c>
      <c r="B20" s="11" t="s">
        <v>167</v>
      </c>
      <c r="C20" s="11" t="s">
        <v>168</v>
      </c>
      <c r="D20" s="11" t="s">
        <v>169</v>
      </c>
      <c r="E20" s="11">
        <v>2</v>
      </c>
      <c r="F20" s="11" t="s">
        <v>170</v>
      </c>
      <c r="G20" s="11" t="s">
        <v>171</v>
      </c>
      <c r="H20" s="11" t="s">
        <v>131</v>
      </c>
      <c r="I20" s="11" t="s">
        <v>60</v>
      </c>
      <c r="J20" s="11" t="s">
        <v>59</v>
      </c>
      <c r="K20" s="11">
        <v>6</v>
      </c>
      <c r="L20" s="13" t="s">
        <v>172</v>
      </c>
      <c r="M20" s="13" t="s">
        <v>173</v>
      </c>
      <c r="N20" s="13" t="s">
        <v>174</v>
      </c>
      <c r="O20" s="12">
        <v>1</v>
      </c>
      <c r="P20" s="11" t="s">
        <v>175</v>
      </c>
      <c r="Q20" s="11">
        <v>1</v>
      </c>
      <c r="R20" s="11" t="s">
        <v>60</v>
      </c>
      <c r="S20" s="11" t="s">
        <v>64</v>
      </c>
      <c r="T20" s="9">
        <v>1</v>
      </c>
      <c r="U20" s="9">
        <v>1</v>
      </c>
      <c r="V20" s="9"/>
      <c r="W20" s="9"/>
      <c r="X20" s="14"/>
      <c r="Y20" s="14"/>
      <c r="Z20" s="14"/>
      <c r="AA20" t="str">
        <f t="shared" si="0"/>
        <v>Válido</v>
      </c>
    </row>
    <row r="21" spans="1:27" ht="40.5">
      <c r="A21" s="11" t="s">
        <v>52</v>
      </c>
      <c r="B21" s="11" t="s">
        <v>176</v>
      </c>
      <c r="C21" s="11" t="s">
        <v>168</v>
      </c>
      <c r="D21" s="11" t="s">
        <v>169</v>
      </c>
      <c r="E21" s="11">
        <v>4</v>
      </c>
      <c r="F21" s="11" t="s">
        <v>177</v>
      </c>
      <c r="G21" s="11" t="s">
        <v>178</v>
      </c>
      <c r="H21" s="11" t="s">
        <v>179</v>
      </c>
      <c r="I21" s="11" t="s">
        <v>59</v>
      </c>
      <c r="J21" s="11" t="s">
        <v>60</v>
      </c>
      <c r="K21" s="11">
        <v>6</v>
      </c>
      <c r="L21" s="13" t="s">
        <v>180</v>
      </c>
      <c r="M21" s="13" t="s">
        <v>181</v>
      </c>
      <c r="N21" s="13" t="s">
        <v>182</v>
      </c>
      <c r="O21" s="12">
        <v>1</v>
      </c>
      <c r="P21" s="11" t="s">
        <v>176</v>
      </c>
      <c r="Q21" s="11">
        <v>1</v>
      </c>
      <c r="R21" s="11" t="s">
        <v>60</v>
      </c>
      <c r="S21" s="11" t="s">
        <v>64</v>
      </c>
      <c r="T21" s="9">
        <v>1</v>
      </c>
      <c r="U21" s="9">
        <v>1</v>
      </c>
      <c r="V21" s="9"/>
      <c r="W21" s="9"/>
      <c r="X21" s="14"/>
      <c r="Y21" s="14"/>
      <c r="Z21" s="14"/>
      <c r="AA21" t="str">
        <f t="shared" si="0"/>
        <v>Válido</v>
      </c>
    </row>
    <row r="22" spans="1:27" ht="27">
      <c r="A22" s="11" t="s">
        <v>52</v>
      </c>
      <c r="B22" s="11" t="s">
        <v>183</v>
      </c>
      <c r="C22" s="11" t="s">
        <v>168</v>
      </c>
      <c r="D22" s="11" t="s">
        <v>169</v>
      </c>
      <c r="E22" s="11">
        <v>4</v>
      </c>
      <c r="F22" s="11" t="s">
        <v>177</v>
      </c>
      <c r="G22" s="11" t="s">
        <v>184</v>
      </c>
      <c r="H22" s="11" t="s">
        <v>118</v>
      </c>
      <c r="I22" s="11" t="s">
        <v>60</v>
      </c>
      <c r="J22" s="11" t="s">
        <v>59</v>
      </c>
      <c r="K22" s="11">
        <v>6</v>
      </c>
      <c r="L22" s="13" t="s">
        <v>185</v>
      </c>
      <c r="M22" s="13" t="s">
        <v>186</v>
      </c>
      <c r="N22" s="13" t="s">
        <v>187</v>
      </c>
      <c r="O22" s="12">
        <v>1</v>
      </c>
      <c r="P22" s="11" t="s">
        <v>183</v>
      </c>
      <c r="Q22" s="11">
        <v>1</v>
      </c>
      <c r="R22" s="11" t="s">
        <v>60</v>
      </c>
      <c r="S22" s="11" t="s">
        <v>64</v>
      </c>
      <c r="T22" s="9">
        <v>1</v>
      </c>
      <c r="U22" s="9">
        <v>1</v>
      </c>
      <c r="V22" s="9"/>
      <c r="W22" s="9"/>
      <c r="X22" s="14"/>
      <c r="Y22" s="14"/>
      <c r="Z22" s="14"/>
      <c r="AA22" t="str">
        <f t="shared" si="0"/>
        <v>Válido</v>
      </c>
    </row>
    <row r="23" spans="1:27" ht="27">
      <c r="A23" s="11" t="s">
        <v>52</v>
      </c>
      <c r="B23" s="11" t="s">
        <v>188</v>
      </c>
      <c r="C23" s="11" t="s">
        <v>168</v>
      </c>
      <c r="D23" s="11" t="s">
        <v>169</v>
      </c>
      <c r="E23" s="11">
        <v>4</v>
      </c>
      <c r="F23" s="11" t="s">
        <v>189</v>
      </c>
      <c r="G23" s="11" t="s">
        <v>190</v>
      </c>
      <c r="H23" s="11" t="s">
        <v>89</v>
      </c>
      <c r="I23" s="11" t="s">
        <v>59</v>
      </c>
      <c r="J23" s="11" t="s">
        <v>60</v>
      </c>
      <c r="K23" s="11">
        <v>6</v>
      </c>
      <c r="L23" s="13" t="s">
        <v>191</v>
      </c>
      <c r="M23" s="13" t="s">
        <v>192</v>
      </c>
      <c r="N23" s="13" t="s">
        <v>193</v>
      </c>
      <c r="O23" s="12">
        <v>1</v>
      </c>
      <c r="P23" s="11" t="s">
        <v>194</v>
      </c>
      <c r="Q23" s="11">
        <v>1</v>
      </c>
      <c r="R23" s="11" t="s">
        <v>60</v>
      </c>
      <c r="S23" s="11" t="s">
        <v>195</v>
      </c>
      <c r="T23" s="9">
        <v>1</v>
      </c>
      <c r="U23" s="9">
        <v>1</v>
      </c>
      <c r="V23" s="9"/>
      <c r="W23" s="9"/>
      <c r="X23" s="14"/>
      <c r="Y23" s="14"/>
      <c r="Z23" s="14"/>
      <c r="AA23" t="str">
        <f t="shared" si="0"/>
        <v>Válido</v>
      </c>
    </row>
    <row r="24" spans="1:27" ht="27">
      <c r="A24" s="11" t="s">
        <v>52</v>
      </c>
      <c r="B24" s="11" t="s">
        <v>194</v>
      </c>
      <c r="C24" s="11" t="s">
        <v>168</v>
      </c>
      <c r="D24" s="11" t="s">
        <v>169</v>
      </c>
      <c r="E24" s="11">
        <v>4</v>
      </c>
      <c r="F24" s="11" t="s">
        <v>189</v>
      </c>
      <c r="G24" s="11" t="s">
        <v>196</v>
      </c>
      <c r="H24" s="11" t="s">
        <v>197</v>
      </c>
      <c r="I24" s="11" t="s">
        <v>59</v>
      </c>
      <c r="J24" s="11" t="s">
        <v>60</v>
      </c>
      <c r="K24" s="11">
        <v>6</v>
      </c>
      <c r="L24" s="13" t="s">
        <v>198</v>
      </c>
      <c r="M24" s="13" t="s">
        <v>199</v>
      </c>
      <c r="N24" s="13" t="s">
        <v>200</v>
      </c>
      <c r="O24" s="12">
        <v>1</v>
      </c>
      <c r="P24" s="11" t="s">
        <v>201</v>
      </c>
      <c r="Q24" s="11">
        <v>1</v>
      </c>
      <c r="R24" s="11" t="s">
        <v>60</v>
      </c>
      <c r="S24" s="11" t="s">
        <v>159</v>
      </c>
      <c r="T24" s="9">
        <v>1</v>
      </c>
      <c r="U24" s="9">
        <v>1</v>
      </c>
      <c r="V24" s="9"/>
      <c r="W24" s="9"/>
      <c r="X24" s="14"/>
      <c r="Y24" s="14"/>
      <c r="Z24" s="14"/>
      <c r="AA24" t="str">
        <f t="shared" si="0"/>
        <v>Válido</v>
      </c>
    </row>
    <row r="25" spans="1:27" ht="40.5">
      <c r="A25" s="11" t="s">
        <v>52</v>
      </c>
      <c r="B25" s="11" t="s">
        <v>202</v>
      </c>
      <c r="C25" s="11" t="s">
        <v>168</v>
      </c>
      <c r="D25" s="11" t="s">
        <v>169</v>
      </c>
      <c r="E25" s="11">
        <v>5</v>
      </c>
      <c r="F25" s="11" t="s">
        <v>203</v>
      </c>
      <c r="G25" s="11" t="s">
        <v>204</v>
      </c>
      <c r="H25" s="11" t="s">
        <v>131</v>
      </c>
      <c r="I25" s="11" t="s">
        <v>60</v>
      </c>
      <c r="J25" s="11" t="s">
        <v>59</v>
      </c>
      <c r="K25" s="11">
        <v>6</v>
      </c>
      <c r="L25" s="13" t="s">
        <v>205</v>
      </c>
      <c r="M25" s="13" t="s">
        <v>206</v>
      </c>
      <c r="N25" s="13" t="s">
        <v>207</v>
      </c>
      <c r="O25" s="12">
        <v>1</v>
      </c>
      <c r="P25" s="11" t="s">
        <v>202</v>
      </c>
      <c r="Q25" s="11">
        <v>1</v>
      </c>
      <c r="R25" s="11" t="s">
        <v>60</v>
      </c>
      <c r="S25" s="11" t="s">
        <v>159</v>
      </c>
      <c r="T25" s="9">
        <v>1</v>
      </c>
      <c r="U25" s="9">
        <v>1</v>
      </c>
      <c r="V25" s="9"/>
      <c r="W25" s="9"/>
      <c r="X25" s="14"/>
      <c r="Y25" s="14"/>
      <c r="Z25" s="14"/>
      <c r="AA25" t="str">
        <f t="shared" si="0"/>
        <v>Válido</v>
      </c>
    </row>
    <row r="26" spans="1:27" ht="27">
      <c r="A26" s="11" t="s">
        <v>52</v>
      </c>
      <c r="B26" s="11" t="s">
        <v>208</v>
      </c>
      <c r="C26" s="11" t="s">
        <v>168</v>
      </c>
      <c r="D26" s="11" t="s">
        <v>169</v>
      </c>
      <c r="E26" s="11">
        <v>6</v>
      </c>
      <c r="F26" s="11" t="s">
        <v>209</v>
      </c>
      <c r="G26" s="11" t="s">
        <v>210</v>
      </c>
      <c r="H26" s="11" t="s">
        <v>89</v>
      </c>
      <c r="I26" s="11" t="s">
        <v>59</v>
      </c>
      <c r="J26" s="11" t="s">
        <v>59</v>
      </c>
      <c r="K26" s="11">
        <v>4</v>
      </c>
      <c r="L26" s="13" t="s">
        <v>211</v>
      </c>
      <c r="M26" s="13" t="s">
        <v>212</v>
      </c>
      <c r="N26" s="13" t="s">
        <v>213</v>
      </c>
      <c r="O26" s="12">
        <v>1</v>
      </c>
      <c r="P26" s="11" t="s">
        <v>208</v>
      </c>
      <c r="Q26" s="11">
        <v>1</v>
      </c>
      <c r="R26" s="11" t="s">
        <v>60</v>
      </c>
      <c r="S26" s="11" t="s">
        <v>64</v>
      </c>
      <c r="T26" s="9">
        <v>1</v>
      </c>
      <c r="U26" s="9">
        <v>1</v>
      </c>
      <c r="V26" s="9"/>
      <c r="W26" s="9"/>
      <c r="X26" s="14"/>
      <c r="Y26" s="14"/>
      <c r="Z26" s="14"/>
      <c r="AA26" t="str">
        <f t="shared" si="0"/>
        <v>Válido</v>
      </c>
    </row>
    <row r="27" spans="1:27" ht="40.5">
      <c r="A27" s="11" t="s">
        <v>52</v>
      </c>
      <c r="B27" s="11" t="s">
        <v>214</v>
      </c>
      <c r="C27" s="11" t="s">
        <v>168</v>
      </c>
      <c r="D27" s="11" t="s">
        <v>169</v>
      </c>
      <c r="E27" s="11">
        <v>6</v>
      </c>
      <c r="F27" s="11" t="s">
        <v>209</v>
      </c>
      <c r="G27" s="11" t="s">
        <v>215</v>
      </c>
      <c r="H27" s="11" t="s">
        <v>197</v>
      </c>
      <c r="I27" s="11" t="s">
        <v>59</v>
      </c>
      <c r="J27" s="11" t="s">
        <v>59</v>
      </c>
      <c r="K27" s="11">
        <v>4</v>
      </c>
      <c r="L27" s="13" t="s">
        <v>216</v>
      </c>
      <c r="M27" s="13" t="s">
        <v>217</v>
      </c>
      <c r="N27" s="13" t="s">
        <v>218</v>
      </c>
      <c r="O27" s="12">
        <v>1</v>
      </c>
      <c r="P27" s="11" t="s">
        <v>214</v>
      </c>
      <c r="Q27" s="11">
        <v>1</v>
      </c>
      <c r="R27" s="11" t="s">
        <v>60</v>
      </c>
      <c r="S27" s="11" t="s">
        <v>64</v>
      </c>
      <c r="T27" s="9">
        <v>1</v>
      </c>
      <c r="U27" s="9">
        <v>1</v>
      </c>
      <c r="V27" s="9"/>
      <c r="W27" s="9"/>
      <c r="X27" s="14"/>
      <c r="Y27" s="14"/>
      <c r="Z27" s="14"/>
      <c r="AA27" t="str">
        <f t="shared" si="0"/>
        <v>Válido</v>
      </c>
    </row>
    <row r="28" spans="1:27" ht="54">
      <c r="A28" s="11" t="s">
        <v>52</v>
      </c>
      <c r="B28" s="11" t="s">
        <v>219</v>
      </c>
      <c r="C28" s="11" t="s">
        <v>168</v>
      </c>
      <c r="D28" s="11" t="s">
        <v>169</v>
      </c>
      <c r="E28" s="11">
        <v>8</v>
      </c>
      <c r="F28" s="11" t="s">
        <v>220</v>
      </c>
      <c r="G28" s="11" t="s">
        <v>221</v>
      </c>
      <c r="H28" s="11" t="s">
        <v>118</v>
      </c>
      <c r="I28" s="11" t="s">
        <v>60</v>
      </c>
      <c r="J28" s="11" t="s">
        <v>59</v>
      </c>
      <c r="K28" s="11">
        <v>6</v>
      </c>
      <c r="L28" s="13" t="s">
        <v>222</v>
      </c>
      <c r="M28" s="13" t="s">
        <v>223</v>
      </c>
      <c r="N28" s="13" t="s">
        <v>224</v>
      </c>
      <c r="O28" s="12">
        <v>1</v>
      </c>
      <c r="P28" s="11" t="s">
        <v>219</v>
      </c>
      <c r="Q28" s="11">
        <v>1</v>
      </c>
      <c r="R28" s="11" t="s">
        <v>60</v>
      </c>
      <c r="S28" s="11" t="s">
        <v>64</v>
      </c>
      <c r="T28" s="9">
        <v>1</v>
      </c>
      <c r="U28" s="9">
        <v>1</v>
      </c>
      <c r="V28" s="9"/>
      <c r="W28" s="9"/>
      <c r="X28" s="14"/>
      <c r="Y28" s="14"/>
      <c r="Z28" s="14"/>
      <c r="AA28" t="str">
        <f t="shared" si="0"/>
        <v>Válido</v>
      </c>
    </row>
    <row r="29" spans="1:27" ht="27">
      <c r="A29" s="11" t="s">
        <v>52</v>
      </c>
      <c r="B29" s="11" t="s">
        <v>225</v>
      </c>
      <c r="C29" s="11" t="s">
        <v>168</v>
      </c>
      <c r="D29" s="11" t="s">
        <v>169</v>
      </c>
      <c r="E29" s="11">
        <v>8</v>
      </c>
      <c r="F29" s="11" t="s">
        <v>226</v>
      </c>
      <c r="G29" s="11" t="s">
        <v>227</v>
      </c>
      <c r="H29" s="11" t="s">
        <v>89</v>
      </c>
      <c r="I29" s="11" t="s">
        <v>60</v>
      </c>
      <c r="J29" s="11" t="s">
        <v>59</v>
      </c>
      <c r="K29" s="11">
        <v>6</v>
      </c>
      <c r="L29" s="13" t="s">
        <v>228</v>
      </c>
      <c r="M29" s="13" t="s">
        <v>229</v>
      </c>
      <c r="N29" s="13" t="s">
        <v>230</v>
      </c>
      <c r="O29" s="12">
        <v>1</v>
      </c>
      <c r="P29" s="11" t="s">
        <v>231</v>
      </c>
      <c r="Q29" s="11">
        <v>1</v>
      </c>
      <c r="R29" s="11" t="s">
        <v>60</v>
      </c>
      <c r="S29" s="11" t="s">
        <v>64</v>
      </c>
      <c r="T29" s="9">
        <v>1</v>
      </c>
      <c r="U29" s="9">
        <v>1</v>
      </c>
      <c r="V29" s="9"/>
      <c r="W29" s="9"/>
      <c r="X29" s="14"/>
      <c r="Y29" s="14"/>
      <c r="Z29" s="14"/>
      <c r="AA29" t="str">
        <f t="shared" si="0"/>
        <v>Válido</v>
      </c>
    </row>
    <row r="30" spans="1:27" ht="40.5">
      <c r="A30" s="11" t="s">
        <v>52</v>
      </c>
      <c r="B30" s="11" t="s">
        <v>232</v>
      </c>
      <c r="C30" s="11" t="s">
        <v>168</v>
      </c>
      <c r="D30" s="11" t="s">
        <v>169</v>
      </c>
      <c r="E30" s="11">
        <v>9</v>
      </c>
      <c r="F30" s="11" t="s">
        <v>233</v>
      </c>
      <c r="G30" s="11" t="s">
        <v>234</v>
      </c>
      <c r="H30" s="11" t="s">
        <v>89</v>
      </c>
      <c r="I30" s="11" t="s">
        <v>59</v>
      </c>
      <c r="J30" s="11" t="s">
        <v>60</v>
      </c>
      <c r="K30" s="11">
        <v>6</v>
      </c>
      <c r="L30" s="13" t="s">
        <v>235</v>
      </c>
      <c r="M30" s="13" t="s">
        <v>236</v>
      </c>
      <c r="N30" s="13" t="s">
        <v>237</v>
      </c>
      <c r="O30" s="12">
        <v>1</v>
      </c>
      <c r="P30" s="11" t="s">
        <v>238</v>
      </c>
      <c r="Q30" s="11">
        <v>1</v>
      </c>
      <c r="R30" s="11" t="s">
        <v>60</v>
      </c>
      <c r="S30" s="11" t="s">
        <v>64</v>
      </c>
      <c r="T30" s="9">
        <v>1</v>
      </c>
      <c r="U30" s="9">
        <v>1</v>
      </c>
      <c r="V30" s="9"/>
      <c r="W30" s="9"/>
      <c r="X30" s="14"/>
      <c r="Y30" s="14"/>
      <c r="Z30" s="14"/>
      <c r="AA30" t="str">
        <f t="shared" si="0"/>
        <v>Válido</v>
      </c>
    </row>
    <row r="31" spans="1:27" ht="27">
      <c r="A31" s="11" t="s">
        <v>52</v>
      </c>
      <c r="B31" s="11" t="s">
        <v>239</v>
      </c>
      <c r="C31" s="11" t="s">
        <v>240</v>
      </c>
      <c r="D31" s="11" t="s">
        <v>241</v>
      </c>
      <c r="E31" s="11">
        <v>2</v>
      </c>
      <c r="F31" s="11" t="s">
        <v>242</v>
      </c>
      <c r="G31" s="11" t="s">
        <v>243</v>
      </c>
      <c r="H31" s="11" t="s">
        <v>197</v>
      </c>
      <c r="I31" s="11" t="s">
        <v>59</v>
      </c>
      <c r="J31" s="11" t="s">
        <v>60</v>
      </c>
      <c r="K31" s="11">
        <v>6</v>
      </c>
      <c r="L31" s="13" t="s">
        <v>244</v>
      </c>
      <c r="M31" s="13" t="s">
        <v>245</v>
      </c>
      <c r="N31" s="13" t="s">
        <v>246</v>
      </c>
      <c r="O31" s="12">
        <v>1</v>
      </c>
      <c r="P31" s="11" t="s">
        <v>247</v>
      </c>
      <c r="Q31" s="11">
        <v>1</v>
      </c>
      <c r="R31" s="11" t="s">
        <v>60</v>
      </c>
      <c r="S31" s="11" t="s">
        <v>64</v>
      </c>
      <c r="T31" s="9">
        <v>1</v>
      </c>
      <c r="U31" s="9">
        <v>1</v>
      </c>
      <c r="V31" s="9"/>
      <c r="W31" s="9"/>
      <c r="X31" s="14"/>
      <c r="Y31" s="14"/>
      <c r="Z31" s="14"/>
      <c r="AA31" t="str">
        <f t="shared" si="0"/>
        <v>Válido</v>
      </c>
    </row>
    <row r="32" spans="1:27" ht="40.5">
      <c r="A32" s="11" t="s">
        <v>52</v>
      </c>
      <c r="B32" s="11" t="s">
        <v>248</v>
      </c>
      <c r="C32" s="11" t="s">
        <v>240</v>
      </c>
      <c r="D32" s="11" t="s">
        <v>241</v>
      </c>
      <c r="E32" s="11">
        <v>3</v>
      </c>
      <c r="F32" s="11" t="s">
        <v>249</v>
      </c>
      <c r="G32" s="11" t="s">
        <v>250</v>
      </c>
      <c r="H32" s="11" t="s">
        <v>112</v>
      </c>
      <c r="I32" s="11" t="s">
        <v>59</v>
      </c>
      <c r="J32" s="11" t="s">
        <v>59</v>
      </c>
      <c r="K32" s="11">
        <v>4</v>
      </c>
      <c r="L32" s="13" t="s">
        <v>251</v>
      </c>
      <c r="M32" s="13" t="s">
        <v>252</v>
      </c>
      <c r="N32" s="13" t="s">
        <v>253</v>
      </c>
      <c r="O32" s="12">
        <v>1</v>
      </c>
      <c r="P32" s="11" t="s">
        <v>254</v>
      </c>
      <c r="Q32" s="11">
        <v>1</v>
      </c>
      <c r="R32" s="11" t="s">
        <v>60</v>
      </c>
      <c r="S32" s="11" t="s">
        <v>64</v>
      </c>
      <c r="T32" s="9">
        <v>1</v>
      </c>
      <c r="U32" s="9">
        <v>1</v>
      </c>
      <c r="V32" s="9"/>
      <c r="W32" s="9"/>
      <c r="X32" s="14"/>
      <c r="Y32" s="14"/>
      <c r="Z32" s="14"/>
      <c r="AA32" t="str">
        <f t="shared" si="0"/>
        <v>Válido</v>
      </c>
    </row>
    <row r="33" spans="1:27" ht="27">
      <c r="A33" s="11" t="s">
        <v>52</v>
      </c>
      <c r="B33" s="11" t="s">
        <v>255</v>
      </c>
      <c r="C33" s="11" t="s">
        <v>240</v>
      </c>
      <c r="D33" s="11" t="s">
        <v>241</v>
      </c>
      <c r="E33" s="11">
        <v>5</v>
      </c>
      <c r="F33" s="11" t="s">
        <v>256</v>
      </c>
      <c r="G33" s="11" t="s">
        <v>257</v>
      </c>
      <c r="H33" s="11" t="s">
        <v>197</v>
      </c>
      <c r="I33" s="11" t="s">
        <v>59</v>
      </c>
      <c r="J33" s="11" t="s">
        <v>59</v>
      </c>
      <c r="K33" s="11">
        <v>4</v>
      </c>
      <c r="L33" s="13" t="s">
        <v>258</v>
      </c>
      <c r="M33" s="13" t="s">
        <v>259</v>
      </c>
      <c r="N33" s="13" t="s">
        <v>260</v>
      </c>
      <c r="O33" s="12">
        <v>1</v>
      </c>
      <c r="P33" s="11" t="s">
        <v>261</v>
      </c>
      <c r="Q33" s="11">
        <v>1</v>
      </c>
      <c r="R33" s="11" t="s">
        <v>60</v>
      </c>
      <c r="S33" s="11" t="s">
        <v>64</v>
      </c>
      <c r="T33" s="9">
        <v>1</v>
      </c>
      <c r="U33" s="9">
        <v>1</v>
      </c>
      <c r="V33" s="9"/>
      <c r="W33" s="9"/>
      <c r="X33" s="14"/>
      <c r="Y33" s="14"/>
      <c r="Z33" s="14"/>
      <c r="AA33" t="str">
        <f t="shared" si="0"/>
        <v>Válido</v>
      </c>
    </row>
    <row r="34" spans="1:27" ht="40.5">
      <c r="A34" s="11" t="s">
        <v>52</v>
      </c>
      <c r="B34" s="11" t="s">
        <v>261</v>
      </c>
      <c r="C34" s="11" t="s">
        <v>240</v>
      </c>
      <c r="D34" s="11" t="s">
        <v>241</v>
      </c>
      <c r="E34" s="11">
        <v>5</v>
      </c>
      <c r="F34" s="11" t="s">
        <v>256</v>
      </c>
      <c r="G34" s="11" t="s">
        <v>262</v>
      </c>
      <c r="H34" s="11" t="s">
        <v>89</v>
      </c>
      <c r="I34" s="11" t="s">
        <v>59</v>
      </c>
      <c r="J34" s="11" t="s">
        <v>59</v>
      </c>
      <c r="K34" s="11">
        <v>4</v>
      </c>
      <c r="L34" s="13" t="s">
        <v>263</v>
      </c>
      <c r="M34" s="13" t="s">
        <v>264</v>
      </c>
      <c r="N34" s="13" t="s">
        <v>265</v>
      </c>
      <c r="O34" s="12">
        <v>1</v>
      </c>
      <c r="P34" s="11" t="s">
        <v>266</v>
      </c>
      <c r="Q34" s="11">
        <v>1</v>
      </c>
      <c r="R34" s="11" t="s">
        <v>60</v>
      </c>
      <c r="S34" s="11" t="s">
        <v>267</v>
      </c>
      <c r="T34" s="9">
        <v>1</v>
      </c>
      <c r="U34" s="9">
        <v>1</v>
      </c>
      <c r="V34" s="9"/>
      <c r="W34" s="9"/>
      <c r="X34" s="14"/>
      <c r="Y34" s="14"/>
      <c r="Z34" s="14"/>
      <c r="AA34" t="str">
        <f t="shared" ref="AA34:AA65" si="1">IF(T34="","Pendiente",IF(T34=1,"Válido","Falso positivo"))</f>
        <v>Válido</v>
      </c>
    </row>
    <row r="35" spans="1:27" ht="40.5">
      <c r="A35" s="11" t="s">
        <v>52</v>
      </c>
      <c r="B35" s="11" t="s">
        <v>268</v>
      </c>
      <c r="C35" s="11" t="s">
        <v>240</v>
      </c>
      <c r="D35" s="11" t="s">
        <v>241</v>
      </c>
      <c r="E35" s="11">
        <v>5</v>
      </c>
      <c r="F35" s="11" t="s">
        <v>269</v>
      </c>
      <c r="G35" s="11" t="s">
        <v>270</v>
      </c>
      <c r="H35" s="11" t="s">
        <v>118</v>
      </c>
      <c r="I35" s="11" t="s">
        <v>59</v>
      </c>
      <c r="J35" s="11" t="s">
        <v>60</v>
      </c>
      <c r="K35" s="11">
        <v>6</v>
      </c>
      <c r="L35" s="13" t="s">
        <v>271</v>
      </c>
      <c r="M35" s="13" t="s">
        <v>272</v>
      </c>
      <c r="N35" s="13" t="s">
        <v>273</v>
      </c>
      <c r="O35" s="12">
        <v>1</v>
      </c>
      <c r="P35" s="11" t="s">
        <v>274</v>
      </c>
      <c r="Q35" s="11">
        <v>1</v>
      </c>
      <c r="R35" s="11" t="s">
        <v>60</v>
      </c>
      <c r="S35" s="11" t="s">
        <v>64</v>
      </c>
      <c r="T35" s="9">
        <v>1</v>
      </c>
      <c r="U35" s="9">
        <v>1</v>
      </c>
      <c r="V35" s="9"/>
      <c r="W35" s="9"/>
      <c r="X35" s="14"/>
      <c r="Y35" s="14"/>
      <c r="Z35" s="14"/>
      <c r="AA35" t="str">
        <f t="shared" si="1"/>
        <v>Válido</v>
      </c>
    </row>
    <row r="36" spans="1:27" ht="40.5">
      <c r="A36" s="11" t="s">
        <v>52</v>
      </c>
      <c r="B36" s="11" t="s">
        <v>274</v>
      </c>
      <c r="C36" s="11" t="s">
        <v>240</v>
      </c>
      <c r="D36" s="11" t="s">
        <v>241</v>
      </c>
      <c r="E36" s="11">
        <v>5</v>
      </c>
      <c r="F36" s="11" t="s">
        <v>269</v>
      </c>
      <c r="G36" s="11" t="s">
        <v>275</v>
      </c>
      <c r="H36" s="11" t="s">
        <v>197</v>
      </c>
      <c r="I36" s="11" t="s">
        <v>59</v>
      </c>
      <c r="J36" s="11" t="s">
        <v>59</v>
      </c>
      <c r="K36" s="11">
        <v>4</v>
      </c>
      <c r="L36" s="13" t="s">
        <v>276</v>
      </c>
      <c r="M36" s="13" t="s">
        <v>277</v>
      </c>
      <c r="N36" s="13" t="s">
        <v>278</v>
      </c>
      <c r="O36" s="12">
        <v>1</v>
      </c>
      <c r="P36" s="11" t="s">
        <v>279</v>
      </c>
      <c r="Q36" s="11">
        <v>1</v>
      </c>
      <c r="R36" s="11" t="s">
        <v>60</v>
      </c>
      <c r="S36" s="11" t="s">
        <v>64</v>
      </c>
      <c r="T36" s="9">
        <v>1</v>
      </c>
      <c r="U36" s="9">
        <v>1</v>
      </c>
      <c r="V36" s="9"/>
      <c r="W36" s="9"/>
      <c r="X36" s="14"/>
      <c r="Y36" s="14"/>
      <c r="Z36" s="14"/>
      <c r="AA36" t="str">
        <f t="shared" si="1"/>
        <v>Válido</v>
      </c>
    </row>
    <row r="37" spans="1:27" ht="27">
      <c r="A37" s="11" t="s">
        <v>52</v>
      </c>
      <c r="B37" s="11" t="s">
        <v>279</v>
      </c>
      <c r="C37" s="11" t="s">
        <v>240</v>
      </c>
      <c r="D37" s="11" t="s">
        <v>241</v>
      </c>
      <c r="E37" s="11">
        <v>6</v>
      </c>
      <c r="F37" s="11" t="s">
        <v>280</v>
      </c>
      <c r="G37" s="11" t="s">
        <v>281</v>
      </c>
      <c r="H37" s="11" t="s">
        <v>197</v>
      </c>
      <c r="I37" s="11" t="s">
        <v>59</v>
      </c>
      <c r="J37" s="11" t="s">
        <v>60</v>
      </c>
      <c r="K37" s="11">
        <v>6</v>
      </c>
      <c r="L37" s="13" t="s">
        <v>282</v>
      </c>
      <c r="M37" s="13" t="s">
        <v>283</v>
      </c>
      <c r="N37" s="13" t="s">
        <v>284</v>
      </c>
      <c r="O37" s="12">
        <v>1</v>
      </c>
      <c r="P37" s="11" t="s">
        <v>285</v>
      </c>
      <c r="Q37" s="11">
        <v>1</v>
      </c>
      <c r="R37" s="11" t="s">
        <v>60</v>
      </c>
      <c r="S37" s="11" t="s">
        <v>159</v>
      </c>
      <c r="T37" s="9">
        <v>1</v>
      </c>
      <c r="U37" s="9">
        <v>1</v>
      </c>
      <c r="V37" s="9"/>
      <c r="W37" s="9"/>
      <c r="X37" s="14"/>
      <c r="Y37" s="14"/>
      <c r="Z37" s="14"/>
      <c r="AA37" t="str">
        <f t="shared" si="1"/>
        <v>Válido</v>
      </c>
    </row>
    <row r="38" spans="1:27" ht="40.5">
      <c r="A38" s="11" t="s">
        <v>52</v>
      </c>
      <c r="B38" s="11" t="s">
        <v>286</v>
      </c>
      <c r="C38" s="11" t="s">
        <v>240</v>
      </c>
      <c r="D38" s="11" t="s">
        <v>241</v>
      </c>
      <c r="E38" s="11">
        <v>7</v>
      </c>
      <c r="F38" s="11" t="s">
        <v>287</v>
      </c>
      <c r="G38" s="11" t="s">
        <v>288</v>
      </c>
      <c r="H38" s="11" t="s">
        <v>118</v>
      </c>
      <c r="I38" s="11" t="s">
        <v>60</v>
      </c>
      <c r="J38" s="11" t="s">
        <v>59</v>
      </c>
      <c r="K38" s="11">
        <v>6</v>
      </c>
      <c r="L38" s="13" t="s">
        <v>289</v>
      </c>
      <c r="M38" s="13" t="s">
        <v>290</v>
      </c>
      <c r="N38" s="13" t="s">
        <v>291</v>
      </c>
      <c r="O38" s="12">
        <v>1</v>
      </c>
      <c r="P38" s="11" t="s">
        <v>292</v>
      </c>
      <c r="Q38" s="11">
        <v>1</v>
      </c>
      <c r="R38" s="11" t="s">
        <v>60</v>
      </c>
      <c r="S38" s="11" t="s">
        <v>267</v>
      </c>
      <c r="T38" s="9">
        <v>1</v>
      </c>
      <c r="U38" s="9">
        <v>1</v>
      </c>
      <c r="V38" s="9"/>
      <c r="W38" s="9"/>
      <c r="X38" s="14"/>
      <c r="Y38" s="14"/>
      <c r="Z38" s="14"/>
      <c r="AA38" t="str">
        <f t="shared" si="1"/>
        <v>Válido</v>
      </c>
    </row>
    <row r="39" spans="1:27" ht="27">
      <c r="A39" s="11" t="s">
        <v>52</v>
      </c>
      <c r="B39" s="11" t="s">
        <v>293</v>
      </c>
      <c r="C39" s="11" t="s">
        <v>240</v>
      </c>
      <c r="D39" s="11" t="s">
        <v>241</v>
      </c>
      <c r="E39" s="11">
        <v>9</v>
      </c>
      <c r="F39" s="11" t="s">
        <v>294</v>
      </c>
      <c r="G39" s="11" t="s">
        <v>295</v>
      </c>
      <c r="H39" s="11" t="s">
        <v>89</v>
      </c>
      <c r="I39" s="11" t="s">
        <v>59</v>
      </c>
      <c r="J39" s="11" t="s">
        <v>59</v>
      </c>
      <c r="K39" s="11">
        <v>4</v>
      </c>
      <c r="L39" s="13" t="s">
        <v>296</v>
      </c>
      <c r="M39" s="13" t="s">
        <v>297</v>
      </c>
      <c r="N39" s="13" t="s">
        <v>298</v>
      </c>
      <c r="O39" s="12">
        <v>1</v>
      </c>
      <c r="P39" s="11" t="s">
        <v>299</v>
      </c>
      <c r="Q39" s="11">
        <v>1</v>
      </c>
      <c r="R39" s="11" t="s">
        <v>60</v>
      </c>
      <c r="S39" s="11" t="s">
        <v>64</v>
      </c>
      <c r="T39" s="9">
        <v>0</v>
      </c>
      <c r="U39" s="9">
        <v>0</v>
      </c>
      <c r="V39" s="9" t="s">
        <v>917</v>
      </c>
      <c r="W39" s="9">
        <v>0</v>
      </c>
      <c r="X39" s="14"/>
      <c r="Y39" s="14"/>
      <c r="Z39" s="14"/>
      <c r="AA39" t="str">
        <f t="shared" si="1"/>
        <v>Falso positivo</v>
      </c>
    </row>
    <row r="40" spans="1:27" ht="27">
      <c r="A40" s="11" t="s">
        <v>52</v>
      </c>
      <c r="B40" s="11" t="s">
        <v>299</v>
      </c>
      <c r="C40" s="11" t="s">
        <v>240</v>
      </c>
      <c r="D40" s="11" t="s">
        <v>241</v>
      </c>
      <c r="E40" s="11">
        <v>9</v>
      </c>
      <c r="F40" s="11" t="s">
        <v>294</v>
      </c>
      <c r="G40" s="11" t="s">
        <v>300</v>
      </c>
      <c r="H40" s="11" t="s">
        <v>197</v>
      </c>
      <c r="I40" s="11" t="s">
        <v>301</v>
      </c>
      <c r="J40" s="11" t="s">
        <v>59</v>
      </c>
      <c r="K40" s="11">
        <v>2</v>
      </c>
      <c r="L40" s="13" t="s">
        <v>302</v>
      </c>
      <c r="M40" s="13" t="s">
        <v>303</v>
      </c>
      <c r="N40" s="13" t="s">
        <v>304</v>
      </c>
      <c r="O40" s="12">
        <v>1</v>
      </c>
      <c r="P40" s="11" t="s">
        <v>305</v>
      </c>
      <c r="Q40" s="11">
        <v>1</v>
      </c>
      <c r="R40" s="11" t="s">
        <v>60</v>
      </c>
      <c r="S40" s="11" t="s">
        <v>64</v>
      </c>
      <c r="T40" s="9">
        <v>1</v>
      </c>
      <c r="U40" s="9">
        <v>1</v>
      </c>
      <c r="V40" s="9"/>
      <c r="W40" s="9"/>
      <c r="X40" s="14"/>
      <c r="Y40" s="14"/>
      <c r="Z40" s="14"/>
      <c r="AA40" t="str">
        <f t="shared" si="1"/>
        <v>Válido</v>
      </c>
    </row>
    <row r="41" spans="1:27" ht="27">
      <c r="A41" s="11" t="s">
        <v>52</v>
      </c>
      <c r="B41" s="11" t="s">
        <v>305</v>
      </c>
      <c r="C41" s="11" t="s">
        <v>240</v>
      </c>
      <c r="D41" s="11" t="s">
        <v>241</v>
      </c>
      <c r="E41" s="11">
        <v>9</v>
      </c>
      <c r="F41" s="11" t="s">
        <v>294</v>
      </c>
      <c r="G41" s="11" t="s">
        <v>306</v>
      </c>
      <c r="H41" s="11" t="s">
        <v>197</v>
      </c>
      <c r="I41" s="11" t="s">
        <v>59</v>
      </c>
      <c r="J41" s="11" t="s">
        <v>59</v>
      </c>
      <c r="K41" s="11">
        <v>4</v>
      </c>
      <c r="L41" s="13" t="s">
        <v>307</v>
      </c>
      <c r="M41" s="13" t="s">
        <v>308</v>
      </c>
      <c r="N41" s="13" t="s">
        <v>309</v>
      </c>
      <c r="O41" s="12">
        <v>1</v>
      </c>
      <c r="P41" s="11" t="s">
        <v>310</v>
      </c>
      <c r="Q41" s="11">
        <v>1</v>
      </c>
      <c r="R41" s="11" t="s">
        <v>60</v>
      </c>
      <c r="S41" s="11" t="s">
        <v>64</v>
      </c>
      <c r="T41" s="9">
        <v>1</v>
      </c>
      <c r="U41" s="9">
        <v>1</v>
      </c>
      <c r="V41" s="9"/>
      <c r="W41" s="9"/>
      <c r="X41" s="14"/>
      <c r="Y41" s="14"/>
      <c r="Z41" s="14"/>
      <c r="AA41" t="str">
        <f t="shared" si="1"/>
        <v>Válido</v>
      </c>
    </row>
    <row r="42" spans="1:27" ht="27">
      <c r="A42" s="11" t="s">
        <v>52</v>
      </c>
      <c r="B42" s="11" t="s">
        <v>311</v>
      </c>
      <c r="C42" s="11" t="s">
        <v>240</v>
      </c>
      <c r="D42" s="11" t="s">
        <v>241</v>
      </c>
      <c r="E42" s="11">
        <v>10</v>
      </c>
      <c r="F42" s="11" t="s">
        <v>312</v>
      </c>
      <c r="G42" s="11" t="s">
        <v>313</v>
      </c>
      <c r="H42" s="11" t="s">
        <v>89</v>
      </c>
      <c r="I42" s="11" t="s">
        <v>59</v>
      </c>
      <c r="J42" s="11" t="s">
        <v>60</v>
      </c>
      <c r="K42" s="11">
        <v>6</v>
      </c>
      <c r="L42" s="13" t="s">
        <v>314</v>
      </c>
      <c r="M42" s="13" t="s">
        <v>315</v>
      </c>
      <c r="N42" s="13" t="s">
        <v>316</v>
      </c>
      <c r="O42" s="12">
        <v>1</v>
      </c>
      <c r="P42" s="11" t="s">
        <v>317</v>
      </c>
      <c r="Q42" s="11">
        <v>1</v>
      </c>
      <c r="R42" s="11" t="s">
        <v>60</v>
      </c>
      <c r="S42" s="11" t="s">
        <v>64</v>
      </c>
      <c r="T42" s="9">
        <v>1</v>
      </c>
      <c r="U42" s="9">
        <v>1</v>
      </c>
      <c r="V42" s="9"/>
      <c r="W42" s="9"/>
      <c r="X42" s="14"/>
      <c r="Y42" s="14"/>
      <c r="Z42" s="14"/>
      <c r="AA42" t="str">
        <f t="shared" si="1"/>
        <v>Válido</v>
      </c>
    </row>
    <row r="43" spans="1:27" ht="27">
      <c r="A43" s="11" t="s">
        <v>52</v>
      </c>
      <c r="B43" s="11" t="s">
        <v>317</v>
      </c>
      <c r="C43" s="11" t="s">
        <v>240</v>
      </c>
      <c r="D43" s="11" t="s">
        <v>241</v>
      </c>
      <c r="E43" s="11">
        <v>10</v>
      </c>
      <c r="F43" s="11" t="s">
        <v>312</v>
      </c>
      <c r="G43" s="11" t="s">
        <v>318</v>
      </c>
      <c r="H43" s="11" t="s">
        <v>89</v>
      </c>
      <c r="I43" s="11" t="s">
        <v>59</v>
      </c>
      <c r="J43" s="11" t="s">
        <v>60</v>
      </c>
      <c r="K43" s="11">
        <v>6</v>
      </c>
      <c r="L43" s="13" t="s">
        <v>319</v>
      </c>
      <c r="M43" s="13" t="s">
        <v>320</v>
      </c>
      <c r="N43" s="13" t="s">
        <v>321</v>
      </c>
      <c r="O43" s="12">
        <v>1</v>
      </c>
      <c r="P43" s="11" t="s">
        <v>322</v>
      </c>
      <c r="Q43" s="11">
        <v>1</v>
      </c>
      <c r="R43" s="11" t="s">
        <v>60</v>
      </c>
      <c r="S43" s="11" t="s">
        <v>64</v>
      </c>
      <c r="T43" s="9">
        <v>1</v>
      </c>
      <c r="U43" s="9">
        <v>1</v>
      </c>
      <c r="V43" s="9"/>
      <c r="W43" s="9"/>
      <c r="X43" s="14"/>
      <c r="Y43" s="14"/>
      <c r="Z43" s="14"/>
      <c r="AA43" t="str">
        <f t="shared" si="1"/>
        <v>Válido</v>
      </c>
    </row>
    <row r="44" spans="1:27" ht="27">
      <c r="A44" s="11" t="s">
        <v>52</v>
      </c>
      <c r="B44" s="11" t="s">
        <v>323</v>
      </c>
      <c r="C44" s="11" t="s">
        <v>240</v>
      </c>
      <c r="D44" s="11" t="s">
        <v>241</v>
      </c>
      <c r="E44" s="11">
        <v>11</v>
      </c>
      <c r="F44" s="11" t="s">
        <v>324</v>
      </c>
      <c r="G44" s="11" t="s">
        <v>325</v>
      </c>
      <c r="H44" s="11" t="s">
        <v>197</v>
      </c>
      <c r="I44" s="11" t="s">
        <v>59</v>
      </c>
      <c r="J44" s="11" t="s">
        <v>60</v>
      </c>
      <c r="K44" s="11">
        <v>6</v>
      </c>
      <c r="L44" s="13" t="s">
        <v>326</v>
      </c>
      <c r="M44" s="13" t="s">
        <v>327</v>
      </c>
      <c r="N44" s="13" t="s">
        <v>328</v>
      </c>
      <c r="O44" s="12">
        <v>1</v>
      </c>
      <c r="P44" s="11" t="s">
        <v>329</v>
      </c>
      <c r="Q44" s="11">
        <v>1</v>
      </c>
      <c r="R44" s="11" t="s">
        <v>60</v>
      </c>
      <c r="S44" s="11" t="s">
        <v>64</v>
      </c>
      <c r="T44" s="9">
        <v>1</v>
      </c>
      <c r="U44" s="9">
        <v>1</v>
      </c>
      <c r="V44" s="9"/>
      <c r="W44" s="9"/>
      <c r="X44" s="14"/>
      <c r="Y44" s="14"/>
      <c r="Z44" s="14"/>
      <c r="AA44" t="str">
        <f t="shared" si="1"/>
        <v>Válido</v>
      </c>
    </row>
    <row r="45" spans="1:27" ht="27">
      <c r="A45" s="11" t="s">
        <v>52</v>
      </c>
      <c r="B45" s="11" t="s">
        <v>330</v>
      </c>
      <c r="C45" s="11" t="s">
        <v>331</v>
      </c>
      <c r="D45" s="11" t="s">
        <v>332</v>
      </c>
      <c r="E45" s="11">
        <v>4</v>
      </c>
      <c r="F45" s="11" t="s">
        <v>333</v>
      </c>
      <c r="G45" s="11" t="s">
        <v>334</v>
      </c>
      <c r="H45" s="11" t="s">
        <v>112</v>
      </c>
      <c r="I45" s="11" t="s">
        <v>60</v>
      </c>
      <c r="J45" s="11" t="s">
        <v>59</v>
      </c>
      <c r="K45" s="11">
        <v>6</v>
      </c>
      <c r="L45" s="13" t="s">
        <v>335</v>
      </c>
      <c r="M45" s="13" t="s">
        <v>336</v>
      </c>
      <c r="N45" s="13" t="s">
        <v>337</v>
      </c>
      <c r="O45" s="12">
        <v>1</v>
      </c>
      <c r="P45" s="11" t="s">
        <v>338</v>
      </c>
      <c r="Q45" s="11">
        <v>1</v>
      </c>
      <c r="R45" s="11" t="s">
        <v>60</v>
      </c>
      <c r="S45" s="11" t="s">
        <v>64</v>
      </c>
      <c r="T45" s="9">
        <v>1</v>
      </c>
      <c r="U45" s="9">
        <v>1</v>
      </c>
      <c r="V45" s="9"/>
      <c r="W45" s="9"/>
      <c r="X45" s="14"/>
      <c r="Y45" s="14"/>
      <c r="Z45" s="14"/>
      <c r="AA45" t="str">
        <f t="shared" si="1"/>
        <v>Válido</v>
      </c>
    </row>
    <row r="46" spans="1:27" ht="27">
      <c r="A46" s="11" t="s">
        <v>52</v>
      </c>
      <c r="B46" s="11" t="s">
        <v>339</v>
      </c>
      <c r="C46" s="11" t="s">
        <v>331</v>
      </c>
      <c r="D46" s="11" t="s">
        <v>332</v>
      </c>
      <c r="E46" s="11">
        <v>4</v>
      </c>
      <c r="F46" s="11" t="s">
        <v>340</v>
      </c>
      <c r="G46" s="11" t="s">
        <v>341</v>
      </c>
      <c r="H46" s="11" t="s">
        <v>112</v>
      </c>
      <c r="I46" s="11" t="s">
        <v>59</v>
      </c>
      <c r="J46" s="11" t="s">
        <v>59</v>
      </c>
      <c r="K46" s="11">
        <v>4</v>
      </c>
      <c r="L46" s="13" t="s">
        <v>342</v>
      </c>
      <c r="M46" s="13" t="s">
        <v>343</v>
      </c>
      <c r="N46" s="13" t="s">
        <v>344</v>
      </c>
      <c r="O46" s="12">
        <v>1</v>
      </c>
      <c r="P46" s="11" t="s">
        <v>345</v>
      </c>
      <c r="Q46" s="11">
        <v>1</v>
      </c>
      <c r="R46" s="11" t="s">
        <v>60</v>
      </c>
      <c r="S46" s="11" t="s">
        <v>64</v>
      </c>
      <c r="T46" s="9">
        <v>1</v>
      </c>
      <c r="U46" s="9">
        <v>1</v>
      </c>
      <c r="V46" s="9"/>
      <c r="W46" s="9"/>
      <c r="X46" s="14"/>
      <c r="Y46" s="14"/>
      <c r="Z46" s="14"/>
      <c r="AA46" t="str">
        <f t="shared" si="1"/>
        <v>Válido</v>
      </c>
    </row>
    <row r="47" spans="1:27" ht="40.5">
      <c r="A47" s="11" t="s">
        <v>52</v>
      </c>
      <c r="B47" s="11" t="s">
        <v>346</v>
      </c>
      <c r="C47" s="11" t="s">
        <v>331</v>
      </c>
      <c r="D47" s="11" t="s">
        <v>332</v>
      </c>
      <c r="E47" s="11">
        <v>5</v>
      </c>
      <c r="F47" s="11" t="s">
        <v>347</v>
      </c>
      <c r="G47" s="11" t="s">
        <v>348</v>
      </c>
      <c r="H47" s="11" t="s">
        <v>112</v>
      </c>
      <c r="I47" s="11" t="s">
        <v>59</v>
      </c>
      <c r="J47" s="11" t="s">
        <v>59</v>
      </c>
      <c r="K47" s="11">
        <v>4</v>
      </c>
      <c r="L47" s="13" t="s">
        <v>349</v>
      </c>
      <c r="M47" s="13" t="s">
        <v>350</v>
      </c>
      <c r="N47" s="13" t="s">
        <v>351</v>
      </c>
      <c r="O47" s="12">
        <v>1</v>
      </c>
      <c r="P47" s="11" t="s">
        <v>352</v>
      </c>
      <c r="Q47" s="11">
        <v>1</v>
      </c>
      <c r="R47" s="11" t="s">
        <v>60</v>
      </c>
      <c r="S47" s="11" t="s">
        <v>64</v>
      </c>
      <c r="T47" s="9">
        <v>1</v>
      </c>
      <c r="U47" s="9">
        <v>1</v>
      </c>
      <c r="V47" s="9"/>
      <c r="W47" s="9"/>
      <c r="X47" s="14"/>
      <c r="Y47" s="14"/>
      <c r="Z47" s="14"/>
      <c r="AA47" t="str">
        <f t="shared" si="1"/>
        <v>Válido</v>
      </c>
    </row>
    <row r="48" spans="1:27" ht="27">
      <c r="A48" s="11" t="s">
        <v>52</v>
      </c>
      <c r="B48" s="11" t="s">
        <v>353</v>
      </c>
      <c r="C48" s="11" t="s">
        <v>168</v>
      </c>
      <c r="D48" s="11" t="s">
        <v>169</v>
      </c>
      <c r="E48" s="11">
        <v>6</v>
      </c>
      <c r="F48" s="11" t="s">
        <v>209</v>
      </c>
      <c r="G48" s="11" t="s">
        <v>354</v>
      </c>
      <c r="H48" s="11" t="s">
        <v>89</v>
      </c>
      <c r="I48" s="11" t="s">
        <v>60</v>
      </c>
      <c r="J48" s="11" t="s">
        <v>60</v>
      </c>
      <c r="K48" s="11">
        <v>9</v>
      </c>
      <c r="L48" s="13" t="s">
        <v>355</v>
      </c>
      <c r="M48" s="13" t="s">
        <v>356</v>
      </c>
      <c r="N48" s="13" t="s">
        <v>357</v>
      </c>
      <c r="O48" s="12">
        <v>0.97150000000000003</v>
      </c>
      <c r="P48" s="11" t="s">
        <v>353</v>
      </c>
      <c r="Q48" s="11">
        <v>1</v>
      </c>
      <c r="R48" s="11" t="s">
        <v>60</v>
      </c>
      <c r="S48" s="11" t="s">
        <v>64</v>
      </c>
      <c r="T48" s="9">
        <v>1</v>
      </c>
      <c r="U48" s="9">
        <v>1</v>
      </c>
      <c r="V48" s="9"/>
      <c r="W48" s="9"/>
      <c r="X48" s="14"/>
      <c r="Y48" s="14"/>
      <c r="Z48" s="14"/>
      <c r="AA48" t="str">
        <f t="shared" si="1"/>
        <v>Válido</v>
      </c>
    </row>
    <row r="49" spans="1:27" ht="40.5">
      <c r="A49" s="11" t="s">
        <v>52</v>
      </c>
      <c r="B49" s="11" t="s">
        <v>358</v>
      </c>
      <c r="C49" s="11" t="s">
        <v>168</v>
      </c>
      <c r="D49" s="11" t="s">
        <v>169</v>
      </c>
      <c r="E49" s="11">
        <v>7</v>
      </c>
      <c r="F49" s="11" t="s">
        <v>359</v>
      </c>
      <c r="G49" s="11" t="s">
        <v>360</v>
      </c>
      <c r="H49" s="11" t="s">
        <v>131</v>
      </c>
      <c r="I49" s="11" t="s">
        <v>60</v>
      </c>
      <c r="J49" s="11" t="s">
        <v>59</v>
      </c>
      <c r="K49" s="11">
        <v>6</v>
      </c>
      <c r="L49" s="13" t="s">
        <v>361</v>
      </c>
      <c r="M49" s="13" t="s">
        <v>362</v>
      </c>
      <c r="N49" s="13" t="s">
        <v>363</v>
      </c>
      <c r="O49" s="12">
        <v>0.93179999999999996</v>
      </c>
      <c r="P49" s="11" t="s">
        <v>358</v>
      </c>
      <c r="Q49" s="11">
        <v>1</v>
      </c>
      <c r="R49" s="11" t="s">
        <v>60</v>
      </c>
      <c r="S49" s="11" t="s">
        <v>159</v>
      </c>
      <c r="T49" s="9">
        <v>1</v>
      </c>
      <c r="U49" s="9">
        <v>1</v>
      </c>
      <c r="V49" s="9"/>
      <c r="W49" s="9"/>
      <c r="X49" s="14"/>
      <c r="Y49" s="14"/>
      <c r="Z49" s="14"/>
      <c r="AA49" t="str">
        <f t="shared" si="1"/>
        <v>Válido</v>
      </c>
    </row>
    <row r="50" spans="1:27" ht="40.5">
      <c r="A50" s="11" t="s">
        <v>52</v>
      </c>
      <c r="B50" s="11" t="s">
        <v>166</v>
      </c>
      <c r="C50" s="11" t="s">
        <v>54</v>
      </c>
      <c r="D50" s="11" t="s">
        <v>55</v>
      </c>
      <c r="E50" s="11">
        <v>7</v>
      </c>
      <c r="F50" s="11" t="s">
        <v>161</v>
      </c>
      <c r="G50" s="11" t="s">
        <v>364</v>
      </c>
      <c r="H50" s="11" t="s">
        <v>131</v>
      </c>
      <c r="I50" s="11" t="s">
        <v>60</v>
      </c>
      <c r="J50" s="11" t="s">
        <v>59</v>
      </c>
      <c r="K50" s="11">
        <v>6</v>
      </c>
      <c r="L50" s="13" t="s">
        <v>365</v>
      </c>
      <c r="M50" s="13" t="s">
        <v>366</v>
      </c>
      <c r="N50" s="13" t="s">
        <v>367</v>
      </c>
      <c r="O50" s="12">
        <v>0.90610000000000002</v>
      </c>
      <c r="P50" s="11" t="s">
        <v>368</v>
      </c>
      <c r="Q50" s="11">
        <v>1</v>
      </c>
      <c r="R50" s="11" t="s">
        <v>60</v>
      </c>
      <c r="S50" s="11" t="s">
        <v>64</v>
      </c>
      <c r="T50" s="9">
        <v>1</v>
      </c>
      <c r="U50" s="9">
        <v>1</v>
      </c>
      <c r="V50" s="9"/>
      <c r="W50" s="9"/>
      <c r="X50" s="14"/>
      <c r="Y50" s="14"/>
      <c r="Z50" s="14"/>
      <c r="AA50" t="str">
        <f t="shared" si="1"/>
        <v>Válido</v>
      </c>
    </row>
    <row r="51" spans="1:27" ht="40.5">
      <c r="A51" s="11" t="s">
        <v>52</v>
      </c>
      <c r="B51" s="11" t="s">
        <v>369</v>
      </c>
      <c r="C51" s="11" t="s">
        <v>240</v>
      </c>
      <c r="D51" s="11" t="s">
        <v>241</v>
      </c>
      <c r="E51" s="11">
        <v>8</v>
      </c>
      <c r="F51" s="11" t="s">
        <v>370</v>
      </c>
      <c r="G51" s="11" t="s">
        <v>371</v>
      </c>
      <c r="H51" s="11" t="s">
        <v>118</v>
      </c>
      <c r="I51" s="11" t="s">
        <v>60</v>
      </c>
      <c r="J51" s="11" t="s">
        <v>60</v>
      </c>
      <c r="K51" s="11">
        <v>9</v>
      </c>
      <c r="L51" s="13" t="s">
        <v>372</v>
      </c>
      <c r="M51" s="13" t="s">
        <v>373</v>
      </c>
      <c r="N51" s="13" t="s">
        <v>374</v>
      </c>
      <c r="O51" s="12">
        <v>0.9022</v>
      </c>
      <c r="P51" s="11" t="s">
        <v>375</v>
      </c>
      <c r="Q51" s="11">
        <v>1</v>
      </c>
      <c r="R51" s="11" t="s">
        <v>60</v>
      </c>
      <c r="S51" s="11" t="s">
        <v>64</v>
      </c>
      <c r="T51" s="9">
        <v>1</v>
      </c>
      <c r="U51" s="9">
        <v>1</v>
      </c>
      <c r="V51" s="9"/>
      <c r="W51" s="9"/>
      <c r="X51" s="14"/>
      <c r="Y51" s="14"/>
      <c r="Z51" s="14"/>
      <c r="AA51" t="str">
        <f t="shared" si="1"/>
        <v>Válido</v>
      </c>
    </row>
    <row r="52" spans="1:27" ht="40.5">
      <c r="A52" s="11" t="s">
        <v>52</v>
      </c>
      <c r="B52" s="11" t="s">
        <v>376</v>
      </c>
      <c r="C52" s="11" t="s">
        <v>240</v>
      </c>
      <c r="D52" s="11" t="s">
        <v>241</v>
      </c>
      <c r="E52" s="11">
        <v>8</v>
      </c>
      <c r="F52" s="11" t="s">
        <v>370</v>
      </c>
      <c r="G52" s="11" t="s">
        <v>377</v>
      </c>
      <c r="H52" s="11" t="s">
        <v>155</v>
      </c>
      <c r="I52" s="11" t="s">
        <v>59</v>
      </c>
      <c r="J52" s="11" t="s">
        <v>59</v>
      </c>
      <c r="K52" s="11">
        <v>4</v>
      </c>
      <c r="L52" s="13" t="s">
        <v>378</v>
      </c>
      <c r="M52" s="13" t="s">
        <v>379</v>
      </c>
      <c r="N52" s="13" t="s">
        <v>380</v>
      </c>
      <c r="O52" s="12">
        <v>0.86199999999999999</v>
      </c>
      <c r="P52" s="11" t="s">
        <v>369</v>
      </c>
      <c r="Q52" s="11">
        <v>1</v>
      </c>
      <c r="R52" s="11" t="s">
        <v>60</v>
      </c>
      <c r="S52" s="11" t="s">
        <v>64</v>
      </c>
      <c r="T52" s="9">
        <v>1</v>
      </c>
      <c r="U52" s="9">
        <v>1</v>
      </c>
      <c r="V52" s="9"/>
      <c r="W52" s="9"/>
      <c r="X52" s="14"/>
      <c r="Y52" s="14"/>
      <c r="Z52" s="14"/>
      <c r="AA52" t="str">
        <f t="shared" si="1"/>
        <v>Válido</v>
      </c>
    </row>
    <row r="53" spans="1:27" ht="40.5">
      <c r="A53" s="11" t="s">
        <v>52</v>
      </c>
      <c r="B53" s="11" t="s">
        <v>238</v>
      </c>
      <c r="C53" s="11" t="s">
        <v>168</v>
      </c>
      <c r="D53" s="11" t="s">
        <v>169</v>
      </c>
      <c r="E53" s="11">
        <v>9</v>
      </c>
      <c r="F53" s="11" t="s">
        <v>233</v>
      </c>
      <c r="G53" s="11" t="s">
        <v>381</v>
      </c>
      <c r="H53" s="11" t="s">
        <v>112</v>
      </c>
      <c r="I53" s="11" t="s">
        <v>59</v>
      </c>
      <c r="J53" s="11" t="s">
        <v>59</v>
      </c>
      <c r="K53" s="11">
        <v>4</v>
      </c>
      <c r="L53" s="13" t="s">
        <v>382</v>
      </c>
      <c r="M53" s="13" t="s">
        <v>383</v>
      </c>
      <c r="N53" s="13" t="s">
        <v>384</v>
      </c>
      <c r="O53" s="12">
        <v>0.85</v>
      </c>
      <c r="P53" s="11" t="s">
        <v>385</v>
      </c>
      <c r="Q53" s="11">
        <v>1</v>
      </c>
      <c r="R53" s="11" t="s">
        <v>60</v>
      </c>
      <c r="S53" s="11" t="s">
        <v>64</v>
      </c>
      <c r="T53" s="9">
        <v>1</v>
      </c>
      <c r="U53" s="9">
        <v>1</v>
      </c>
      <c r="V53" s="9"/>
      <c r="W53" s="9"/>
      <c r="X53" s="14"/>
      <c r="Y53" s="14"/>
      <c r="Z53" s="14"/>
      <c r="AA53" t="str">
        <f t="shared" si="1"/>
        <v>Válido</v>
      </c>
    </row>
    <row r="54" spans="1:27" ht="27">
      <c r="A54" s="11" t="s">
        <v>52</v>
      </c>
      <c r="B54" s="11" t="s">
        <v>386</v>
      </c>
      <c r="C54" s="11" t="s">
        <v>54</v>
      </c>
      <c r="D54" s="11" t="s">
        <v>55</v>
      </c>
      <c r="E54" s="11">
        <v>4</v>
      </c>
      <c r="F54" s="11" t="s">
        <v>387</v>
      </c>
      <c r="G54" s="11" t="s">
        <v>388</v>
      </c>
      <c r="H54" s="11" t="s">
        <v>58</v>
      </c>
      <c r="I54" s="11" t="s">
        <v>59</v>
      </c>
      <c r="J54" s="11" t="s">
        <v>60</v>
      </c>
      <c r="K54" s="11">
        <v>6</v>
      </c>
      <c r="L54" s="13" t="s">
        <v>389</v>
      </c>
      <c r="M54" s="13" t="s">
        <v>390</v>
      </c>
      <c r="N54" s="13" t="s">
        <v>391</v>
      </c>
      <c r="O54" s="12">
        <v>0.84909999999999997</v>
      </c>
      <c r="P54" s="11" t="s">
        <v>386</v>
      </c>
      <c r="Q54" s="11">
        <v>1</v>
      </c>
      <c r="R54" s="11" t="s">
        <v>60</v>
      </c>
      <c r="S54" s="11" t="s">
        <v>64</v>
      </c>
      <c r="T54" s="9">
        <v>1</v>
      </c>
      <c r="U54" s="9">
        <v>1</v>
      </c>
      <c r="V54" s="9"/>
      <c r="W54" s="9"/>
      <c r="X54" s="14"/>
      <c r="Y54" s="14"/>
      <c r="Z54" s="14"/>
      <c r="AA54" t="str">
        <f t="shared" si="1"/>
        <v>Válido</v>
      </c>
    </row>
    <row r="55" spans="1:27" ht="40.5">
      <c r="A55" s="11" t="s">
        <v>52</v>
      </c>
      <c r="B55" s="11" t="s">
        <v>392</v>
      </c>
      <c r="C55" s="11" t="s">
        <v>168</v>
      </c>
      <c r="D55" s="11" t="s">
        <v>169</v>
      </c>
      <c r="E55" s="11">
        <v>7</v>
      </c>
      <c r="F55" s="11" t="s">
        <v>359</v>
      </c>
      <c r="G55" s="11" t="s">
        <v>393</v>
      </c>
      <c r="H55" s="11" t="s">
        <v>112</v>
      </c>
      <c r="I55" s="11" t="s">
        <v>59</v>
      </c>
      <c r="J55" s="11" t="s">
        <v>59</v>
      </c>
      <c r="K55" s="11">
        <v>4</v>
      </c>
      <c r="L55" s="13" t="s">
        <v>394</v>
      </c>
      <c r="M55" s="13" t="s">
        <v>395</v>
      </c>
      <c r="N55" s="13" t="s">
        <v>396</v>
      </c>
      <c r="O55" s="12">
        <v>0.84409999999999996</v>
      </c>
      <c r="P55" s="11" t="s">
        <v>392</v>
      </c>
      <c r="Q55" s="11">
        <v>1</v>
      </c>
      <c r="R55" s="11" t="s">
        <v>60</v>
      </c>
      <c r="S55" s="11" t="s">
        <v>64</v>
      </c>
      <c r="T55" s="9">
        <v>1</v>
      </c>
      <c r="U55" s="9">
        <v>1</v>
      </c>
      <c r="V55" s="9"/>
      <c r="W55" s="9"/>
      <c r="X55" s="14"/>
      <c r="Y55" s="14"/>
      <c r="Z55" s="14"/>
      <c r="AA55" t="str">
        <f t="shared" si="1"/>
        <v>Válido</v>
      </c>
    </row>
    <row r="56" spans="1:27" ht="40.5">
      <c r="A56" s="11" t="s">
        <v>52</v>
      </c>
      <c r="B56" s="11" t="s">
        <v>397</v>
      </c>
      <c r="C56" s="11" t="s">
        <v>54</v>
      </c>
      <c r="D56" s="11" t="s">
        <v>55</v>
      </c>
      <c r="E56" s="11">
        <v>6</v>
      </c>
      <c r="F56" s="11" t="s">
        <v>153</v>
      </c>
      <c r="G56" s="11" t="s">
        <v>398</v>
      </c>
      <c r="H56" s="11" t="s">
        <v>89</v>
      </c>
      <c r="I56" s="11" t="s">
        <v>59</v>
      </c>
      <c r="J56" s="11" t="s">
        <v>59</v>
      </c>
      <c r="K56" s="11">
        <v>4</v>
      </c>
      <c r="L56" s="13" t="s">
        <v>399</v>
      </c>
      <c r="M56" s="13" t="s">
        <v>400</v>
      </c>
      <c r="N56" s="13" t="s">
        <v>401</v>
      </c>
      <c r="O56" s="12">
        <v>0.80149999999999999</v>
      </c>
      <c r="P56" s="11" t="s">
        <v>397</v>
      </c>
      <c r="Q56" s="11">
        <v>1</v>
      </c>
      <c r="R56" s="11" t="s">
        <v>60</v>
      </c>
      <c r="S56" s="11" t="s">
        <v>159</v>
      </c>
      <c r="T56" s="9">
        <v>1</v>
      </c>
      <c r="U56" s="9">
        <v>1</v>
      </c>
      <c r="V56" s="9"/>
      <c r="W56" s="9"/>
      <c r="X56" s="14"/>
      <c r="Y56" s="14"/>
      <c r="Z56" s="14"/>
      <c r="AA56" t="str">
        <f t="shared" si="1"/>
        <v>Válido</v>
      </c>
    </row>
    <row r="57" spans="1:27" ht="40.5" hidden="1">
      <c r="A57" s="11" t="s">
        <v>402</v>
      </c>
      <c r="B57" s="11" t="s">
        <v>403</v>
      </c>
      <c r="C57" s="11" t="s">
        <v>240</v>
      </c>
      <c r="D57" s="11" t="s">
        <v>241</v>
      </c>
      <c r="E57" s="11">
        <v>8</v>
      </c>
      <c r="F57" s="11" t="s">
        <v>370</v>
      </c>
      <c r="G57" s="11" t="s">
        <v>404</v>
      </c>
      <c r="H57" s="11" t="s">
        <v>118</v>
      </c>
      <c r="I57" s="11" t="s">
        <v>60</v>
      </c>
      <c r="J57" s="11" t="s">
        <v>59</v>
      </c>
      <c r="K57" s="11">
        <v>6</v>
      </c>
      <c r="L57" s="13" t="s">
        <v>405</v>
      </c>
      <c r="M57" s="13" t="s">
        <v>406</v>
      </c>
      <c r="N57" s="13" t="s">
        <v>407</v>
      </c>
      <c r="O57" s="12">
        <v>0.68640000000000001</v>
      </c>
      <c r="P57" s="11" t="s">
        <v>376</v>
      </c>
      <c r="Q57" s="11"/>
      <c r="R57" s="11" t="s">
        <v>59</v>
      </c>
      <c r="S57" s="11" t="s">
        <v>64</v>
      </c>
      <c r="T57" s="9"/>
      <c r="U57" s="9"/>
      <c r="V57" s="9"/>
      <c r="W57" s="9"/>
      <c r="X57" s="14"/>
      <c r="Y57" s="14"/>
      <c r="Z57" s="14"/>
      <c r="AA57" t="str">
        <f t="shared" si="1"/>
        <v>Pendiente</v>
      </c>
    </row>
    <row r="58" spans="1:27" ht="27" hidden="1">
      <c r="A58" s="11" t="s">
        <v>402</v>
      </c>
      <c r="B58" s="11" t="s">
        <v>201</v>
      </c>
      <c r="C58" s="11" t="s">
        <v>168</v>
      </c>
      <c r="D58" s="11" t="s">
        <v>169</v>
      </c>
      <c r="E58" s="11">
        <v>4</v>
      </c>
      <c r="F58" s="11" t="s">
        <v>189</v>
      </c>
      <c r="G58" s="11" t="s">
        <v>408</v>
      </c>
      <c r="H58" s="11" t="s">
        <v>197</v>
      </c>
      <c r="I58" s="11" t="s">
        <v>59</v>
      </c>
      <c r="J58" s="11" t="s">
        <v>59</v>
      </c>
      <c r="K58" s="11">
        <v>4</v>
      </c>
      <c r="L58" s="13" t="s">
        <v>409</v>
      </c>
      <c r="M58" s="13" t="s">
        <v>410</v>
      </c>
      <c r="N58" s="13" t="s">
        <v>411</v>
      </c>
      <c r="O58" s="12">
        <v>0.67090000000000005</v>
      </c>
      <c r="P58" s="11" t="s">
        <v>201</v>
      </c>
      <c r="Q58" s="11"/>
      <c r="R58" s="11" t="s">
        <v>59</v>
      </c>
      <c r="S58" s="11" t="s">
        <v>159</v>
      </c>
      <c r="T58" s="9"/>
      <c r="U58" s="9"/>
      <c r="V58" s="9"/>
      <c r="W58" s="9"/>
      <c r="X58" s="14"/>
      <c r="Y58" s="14"/>
      <c r="Z58" s="14"/>
      <c r="AA58" t="str">
        <f t="shared" si="1"/>
        <v>Pendiente</v>
      </c>
    </row>
    <row r="59" spans="1:27" ht="40.5" hidden="1">
      <c r="A59" s="11" t="s">
        <v>402</v>
      </c>
      <c r="B59" s="11" t="s">
        <v>412</v>
      </c>
      <c r="C59" s="11" t="s">
        <v>54</v>
      </c>
      <c r="D59" s="11" t="s">
        <v>55</v>
      </c>
      <c r="E59" s="11">
        <v>3</v>
      </c>
      <c r="F59" s="11" t="s">
        <v>77</v>
      </c>
      <c r="G59" s="11" t="s">
        <v>413</v>
      </c>
      <c r="H59" s="11" t="s">
        <v>58</v>
      </c>
      <c r="I59" s="11" t="s">
        <v>59</v>
      </c>
      <c r="J59" s="11" t="s">
        <v>59</v>
      </c>
      <c r="K59" s="11">
        <v>4</v>
      </c>
      <c r="L59" s="13" t="s">
        <v>414</v>
      </c>
      <c r="M59" s="13" t="s">
        <v>415</v>
      </c>
      <c r="N59" s="13" t="s">
        <v>416</v>
      </c>
      <c r="O59" s="12">
        <v>0.65749999999999997</v>
      </c>
      <c r="P59" s="11" t="s">
        <v>412</v>
      </c>
      <c r="Q59" s="11"/>
      <c r="R59" s="11" t="s">
        <v>59</v>
      </c>
      <c r="S59" s="11" t="s">
        <v>64</v>
      </c>
      <c r="T59" s="9"/>
      <c r="U59" s="9"/>
      <c r="V59" s="9"/>
      <c r="W59" s="9"/>
      <c r="X59" s="14"/>
      <c r="Y59" s="14"/>
      <c r="Z59" s="14"/>
      <c r="AA59" t="str">
        <f t="shared" si="1"/>
        <v>Pendiente</v>
      </c>
    </row>
    <row r="60" spans="1:27" ht="40.5" hidden="1">
      <c r="A60" s="11" t="s">
        <v>402</v>
      </c>
      <c r="B60" s="11" t="s">
        <v>417</v>
      </c>
      <c r="C60" s="11" t="s">
        <v>54</v>
      </c>
      <c r="D60" s="11" t="s">
        <v>55</v>
      </c>
      <c r="E60" s="11">
        <v>2</v>
      </c>
      <c r="F60" s="11" t="s">
        <v>418</v>
      </c>
      <c r="G60" s="11" t="s">
        <v>419</v>
      </c>
      <c r="H60" s="11" t="s">
        <v>58</v>
      </c>
      <c r="I60" s="11" t="s">
        <v>59</v>
      </c>
      <c r="J60" s="11" t="s">
        <v>59</v>
      </c>
      <c r="K60" s="11">
        <v>4</v>
      </c>
      <c r="L60" s="13" t="s">
        <v>420</v>
      </c>
      <c r="M60" s="13" t="s">
        <v>421</v>
      </c>
      <c r="N60" s="13" t="s">
        <v>422</v>
      </c>
      <c r="O60" s="12">
        <v>0.6391</v>
      </c>
      <c r="P60" s="11" t="s">
        <v>423</v>
      </c>
      <c r="Q60" s="11"/>
      <c r="R60" s="11" t="s">
        <v>59</v>
      </c>
      <c r="S60" s="11" t="s">
        <v>64</v>
      </c>
      <c r="T60" s="9"/>
      <c r="U60" s="9"/>
      <c r="V60" s="9"/>
      <c r="W60" s="9"/>
      <c r="X60" s="14"/>
      <c r="Y60" s="14"/>
      <c r="Z60" s="14"/>
      <c r="AA60" t="str">
        <f t="shared" si="1"/>
        <v>Pendiente</v>
      </c>
    </row>
    <row r="61" spans="1:27" ht="27" hidden="1">
      <c r="A61" s="11" t="s">
        <v>402</v>
      </c>
      <c r="B61" s="11" t="s">
        <v>424</v>
      </c>
      <c r="C61" s="11" t="s">
        <v>168</v>
      </c>
      <c r="D61" s="11" t="s">
        <v>169</v>
      </c>
      <c r="E61" s="11">
        <v>4</v>
      </c>
      <c r="F61" s="11" t="s">
        <v>189</v>
      </c>
      <c r="G61" s="11" t="s">
        <v>425</v>
      </c>
      <c r="H61" s="11" t="s">
        <v>118</v>
      </c>
      <c r="I61" s="11" t="s">
        <v>59</v>
      </c>
      <c r="J61" s="11" t="s">
        <v>59</v>
      </c>
      <c r="K61" s="11">
        <v>4</v>
      </c>
      <c r="L61" s="13" t="s">
        <v>426</v>
      </c>
      <c r="M61" s="13" t="s">
        <v>427</v>
      </c>
      <c r="N61" s="13" t="s">
        <v>428</v>
      </c>
      <c r="O61" s="12">
        <v>0.63600000000000001</v>
      </c>
      <c r="P61" s="11" t="s">
        <v>201</v>
      </c>
      <c r="Q61" s="11"/>
      <c r="R61" s="11" t="s">
        <v>59</v>
      </c>
      <c r="S61" s="11" t="s">
        <v>159</v>
      </c>
      <c r="T61" s="9"/>
      <c r="U61" s="9"/>
      <c r="V61" s="9"/>
      <c r="W61" s="9"/>
      <c r="X61" s="14"/>
      <c r="Y61" s="14"/>
      <c r="Z61" s="14"/>
      <c r="AA61" t="str">
        <f t="shared" si="1"/>
        <v>Pendiente</v>
      </c>
    </row>
    <row r="62" spans="1:27" ht="40.5" hidden="1">
      <c r="A62" s="11" t="s">
        <v>429</v>
      </c>
      <c r="B62" s="11" t="s">
        <v>266</v>
      </c>
      <c r="C62" s="11" t="s">
        <v>240</v>
      </c>
      <c r="D62" s="11" t="s">
        <v>241</v>
      </c>
      <c r="E62" s="11">
        <v>5</v>
      </c>
      <c r="F62" s="11" t="s">
        <v>256</v>
      </c>
      <c r="G62" s="11" t="s">
        <v>430</v>
      </c>
      <c r="H62" s="11" t="s">
        <v>58</v>
      </c>
      <c r="I62" s="11" t="s">
        <v>59</v>
      </c>
      <c r="J62" s="11" t="s">
        <v>59</v>
      </c>
      <c r="K62" s="11">
        <v>4</v>
      </c>
      <c r="L62" s="13" t="s">
        <v>431</v>
      </c>
      <c r="M62" s="13" t="s">
        <v>432</v>
      </c>
      <c r="N62" s="13" t="s">
        <v>433</v>
      </c>
      <c r="O62" s="12">
        <v>0.5423</v>
      </c>
      <c r="P62" s="11" t="s">
        <v>266</v>
      </c>
      <c r="Q62" s="11"/>
      <c r="R62" s="11" t="s">
        <v>301</v>
      </c>
      <c r="S62" s="11" t="s">
        <v>64</v>
      </c>
      <c r="T62" s="9"/>
      <c r="U62" s="9"/>
      <c r="V62" s="9"/>
      <c r="W62" s="9"/>
      <c r="X62" s="14"/>
      <c r="Y62" s="14"/>
      <c r="Z62" s="14"/>
      <c r="AA62" t="str">
        <f t="shared" si="1"/>
        <v>Pendiente</v>
      </c>
    </row>
    <row r="63" spans="1:27" ht="27" hidden="1">
      <c r="A63" s="11" t="s">
        <v>429</v>
      </c>
      <c r="B63" s="11" t="s">
        <v>434</v>
      </c>
      <c r="C63" s="11" t="s">
        <v>240</v>
      </c>
      <c r="D63" s="11" t="s">
        <v>241</v>
      </c>
      <c r="E63" s="11">
        <v>5</v>
      </c>
      <c r="F63" s="11" t="s">
        <v>256</v>
      </c>
      <c r="G63" s="11" t="s">
        <v>435</v>
      </c>
      <c r="H63" s="11" t="s">
        <v>155</v>
      </c>
      <c r="I63" s="11" t="s">
        <v>59</v>
      </c>
      <c r="J63" s="11" t="s">
        <v>59</v>
      </c>
      <c r="K63" s="11">
        <v>4</v>
      </c>
      <c r="L63" s="13" t="s">
        <v>436</v>
      </c>
      <c r="M63" s="13" t="s">
        <v>437</v>
      </c>
      <c r="N63" s="13" t="s">
        <v>438</v>
      </c>
      <c r="O63" s="12">
        <v>0.49480000000000002</v>
      </c>
      <c r="P63" s="11" t="s">
        <v>434</v>
      </c>
      <c r="Q63" s="11"/>
      <c r="R63" s="11" t="s">
        <v>301</v>
      </c>
      <c r="S63" s="11" t="s">
        <v>64</v>
      </c>
      <c r="T63" s="9"/>
      <c r="U63" s="9"/>
      <c r="V63" s="9"/>
      <c r="W63" s="9"/>
      <c r="X63" s="14"/>
      <c r="Y63" s="14"/>
      <c r="Z63" s="14"/>
      <c r="AA63" t="str">
        <f t="shared" si="1"/>
        <v>Pendiente</v>
      </c>
    </row>
    <row r="64" spans="1:27" ht="40.5" hidden="1">
      <c r="A64" s="11" t="s">
        <v>429</v>
      </c>
      <c r="B64" s="11" t="s">
        <v>439</v>
      </c>
      <c r="C64" s="11" t="s">
        <v>168</v>
      </c>
      <c r="D64" s="11" t="s">
        <v>169</v>
      </c>
      <c r="E64" s="11">
        <v>9</v>
      </c>
      <c r="F64" s="11" t="s">
        <v>233</v>
      </c>
      <c r="G64" s="11" t="s">
        <v>440</v>
      </c>
      <c r="H64" s="11" t="s">
        <v>58</v>
      </c>
      <c r="I64" s="11" t="s">
        <v>59</v>
      </c>
      <c r="J64" s="11" t="s">
        <v>59</v>
      </c>
      <c r="K64" s="11">
        <v>4</v>
      </c>
      <c r="L64" s="13" t="s">
        <v>441</v>
      </c>
      <c r="M64" s="13" t="s">
        <v>442</v>
      </c>
      <c r="N64" s="13" t="s">
        <v>443</v>
      </c>
      <c r="O64" s="12">
        <v>0.46729999999999999</v>
      </c>
      <c r="P64" s="11" t="s">
        <v>385</v>
      </c>
      <c r="Q64" s="11"/>
      <c r="R64" s="11" t="s">
        <v>301</v>
      </c>
      <c r="S64" s="11" t="s">
        <v>64</v>
      </c>
      <c r="T64" s="9"/>
      <c r="U64" s="9"/>
      <c r="V64" s="9"/>
      <c r="W64" s="9"/>
      <c r="X64" s="14"/>
      <c r="Y64" s="14"/>
      <c r="Z64" s="14"/>
      <c r="AA64" t="str">
        <f t="shared" si="1"/>
        <v>Pendiente</v>
      </c>
    </row>
    <row r="65" spans="1:27" ht="40.5" hidden="1">
      <c r="A65" s="11" t="s">
        <v>429</v>
      </c>
      <c r="B65" s="11" t="s">
        <v>444</v>
      </c>
      <c r="C65" s="11" t="s">
        <v>331</v>
      </c>
      <c r="D65" s="11" t="s">
        <v>332</v>
      </c>
      <c r="E65" s="11">
        <v>4</v>
      </c>
      <c r="F65" s="11" t="s">
        <v>333</v>
      </c>
      <c r="G65" s="11" t="s">
        <v>445</v>
      </c>
      <c r="H65" s="11" t="s">
        <v>58</v>
      </c>
      <c r="I65" s="11" t="s">
        <v>59</v>
      </c>
      <c r="J65" s="11" t="s">
        <v>59</v>
      </c>
      <c r="K65" s="11">
        <v>4</v>
      </c>
      <c r="L65" s="13" t="s">
        <v>446</v>
      </c>
      <c r="M65" s="13" t="s">
        <v>447</v>
      </c>
      <c r="N65" s="13" t="s">
        <v>448</v>
      </c>
      <c r="O65" s="12">
        <v>0.44519999999999998</v>
      </c>
      <c r="P65" s="11" t="s">
        <v>338</v>
      </c>
      <c r="Q65" s="11"/>
      <c r="R65" s="11" t="s">
        <v>301</v>
      </c>
      <c r="S65" s="11" t="s">
        <v>64</v>
      </c>
      <c r="T65" s="9"/>
      <c r="U65" s="9"/>
      <c r="V65" s="9"/>
      <c r="W65" s="9"/>
      <c r="X65" s="14"/>
      <c r="Y65" s="14"/>
      <c r="Z65" s="14"/>
      <c r="AA65" t="str">
        <f t="shared" si="1"/>
        <v>Pendiente</v>
      </c>
    </row>
    <row r="66" spans="1:27" ht="27" hidden="1">
      <c r="A66" s="11" t="s">
        <v>429</v>
      </c>
      <c r="B66" s="11" t="s">
        <v>449</v>
      </c>
      <c r="C66" s="11" t="s">
        <v>240</v>
      </c>
      <c r="D66" s="11" t="s">
        <v>241</v>
      </c>
      <c r="E66" s="11">
        <v>9</v>
      </c>
      <c r="F66" s="11" t="s">
        <v>294</v>
      </c>
      <c r="G66" s="11" t="s">
        <v>450</v>
      </c>
      <c r="H66" s="11" t="s">
        <v>155</v>
      </c>
      <c r="I66" s="11" t="s">
        <v>60</v>
      </c>
      <c r="J66" s="11" t="s">
        <v>59</v>
      </c>
      <c r="K66" s="11">
        <v>6</v>
      </c>
      <c r="L66" s="13" t="s">
        <v>451</v>
      </c>
      <c r="M66" s="13" t="s">
        <v>452</v>
      </c>
      <c r="N66" s="13" t="s">
        <v>453</v>
      </c>
      <c r="O66" s="12">
        <v>0.44159999999999999</v>
      </c>
      <c r="P66" s="11" t="s">
        <v>299</v>
      </c>
      <c r="Q66" s="11"/>
      <c r="R66" s="11" t="s">
        <v>301</v>
      </c>
      <c r="S66" s="11" t="s">
        <v>64</v>
      </c>
      <c r="T66" s="9"/>
      <c r="U66" s="9"/>
      <c r="V66" s="9"/>
      <c r="W66" s="9"/>
      <c r="X66" s="14"/>
      <c r="Y66" s="14"/>
      <c r="Z66" s="14"/>
      <c r="AA66" t="str">
        <f t="shared" ref="AA66:AA97" si="2">IF(T66="","Pendiente",IF(T66=1,"Válido","Falso positivo"))</f>
        <v>Pendiente</v>
      </c>
    </row>
    <row r="67" spans="1:27" ht="27" hidden="1">
      <c r="A67" s="11" t="s">
        <v>429</v>
      </c>
      <c r="B67" s="11" t="s">
        <v>338</v>
      </c>
      <c r="C67" s="11" t="s">
        <v>331</v>
      </c>
      <c r="D67" s="11" t="s">
        <v>332</v>
      </c>
      <c r="E67" s="11">
        <v>4</v>
      </c>
      <c r="F67" s="11" t="s">
        <v>333</v>
      </c>
      <c r="G67" s="11" t="s">
        <v>454</v>
      </c>
      <c r="H67" s="11" t="s">
        <v>89</v>
      </c>
      <c r="I67" s="11" t="s">
        <v>59</v>
      </c>
      <c r="J67" s="11" t="s">
        <v>59</v>
      </c>
      <c r="K67" s="11">
        <v>4</v>
      </c>
      <c r="L67" s="13" t="s">
        <v>455</v>
      </c>
      <c r="M67" s="13" t="s">
        <v>456</v>
      </c>
      <c r="N67" s="13" t="s">
        <v>457</v>
      </c>
      <c r="O67" s="12">
        <v>0.42880000000000001</v>
      </c>
      <c r="P67" s="11" t="s">
        <v>338</v>
      </c>
      <c r="Q67" s="11"/>
      <c r="R67" s="11" t="s">
        <v>301</v>
      </c>
      <c r="S67" s="11" t="s">
        <v>64</v>
      </c>
      <c r="T67" s="9"/>
      <c r="U67" s="9"/>
      <c r="V67" s="9"/>
      <c r="W67" s="9"/>
      <c r="X67" s="14"/>
      <c r="Y67" s="14"/>
      <c r="Z67" s="14"/>
      <c r="AA67" t="str">
        <f t="shared" si="2"/>
        <v>Pendiente</v>
      </c>
    </row>
    <row r="68" spans="1:27" ht="27" hidden="1">
      <c r="A68" s="11" t="s">
        <v>429</v>
      </c>
      <c r="B68" s="11" t="s">
        <v>458</v>
      </c>
      <c r="C68" s="11" t="s">
        <v>240</v>
      </c>
      <c r="D68" s="11" t="s">
        <v>241</v>
      </c>
      <c r="E68" s="11">
        <v>8</v>
      </c>
      <c r="F68" s="11" t="s">
        <v>370</v>
      </c>
      <c r="G68" s="11" t="s">
        <v>459</v>
      </c>
      <c r="H68" s="11" t="s">
        <v>58</v>
      </c>
      <c r="I68" s="11" t="s">
        <v>59</v>
      </c>
      <c r="J68" s="11" t="s">
        <v>59</v>
      </c>
      <c r="K68" s="11">
        <v>4</v>
      </c>
      <c r="L68" s="13" t="s">
        <v>460</v>
      </c>
      <c r="M68" s="13" t="s">
        <v>461</v>
      </c>
      <c r="N68" s="13" t="s">
        <v>462</v>
      </c>
      <c r="O68" s="12">
        <v>0.42630000000000001</v>
      </c>
      <c r="P68" s="11" t="s">
        <v>375</v>
      </c>
      <c r="Q68" s="11"/>
      <c r="R68" s="11" t="s">
        <v>301</v>
      </c>
      <c r="S68" s="11" t="s">
        <v>267</v>
      </c>
      <c r="T68" s="9"/>
      <c r="U68" s="9"/>
      <c r="V68" s="9"/>
      <c r="W68" s="9"/>
      <c r="X68" s="14"/>
      <c r="Y68" s="14"/>
      <c r="Z68" s="14"/>
      <c r="AA68" t="str">
        <f t="shared" si="2"/>
        <v>Pendiente</v>
      </c>
    </row>
    <row r="69" spans="1:27" ht="40.5" hidden="1">
      <c r="A69" s="11" t="s">
        <v>429</v>
      </c>
      <c r="B69" s="11" t="s">
        <v>463</v>
      </c>
      <c r="C69" s="11" t="s">
        <v>54</v>
      </c>
      <c r="D69" s="11" t="s">
        <v>55</v>
      </c>
      <c r="E69" s="11">
        <v>4</v>
      </c>
      <c r="F69" s="11" t="s">
        <v>387</v>
      </c>
      <c r="G69" s="11" t="s">
        <v>464</v>
      </c>
      <c r="H69" s="11" t="s">
        <v>197</v>
      </c>
      <c r="I69" s="11" t="s">
        <v>59</v>
      </c>
      <c r="J69" s="11" t="s">
        <v>59</v>
      </c>
      <c r="K69" s="11">
        <v>4</v>
      </c>
      <c r="L69" s="13" t="s">
        <v>465</v>
      </c>
      <c r="M69" s="13" t="s">
        <v>466</v>
      </c>
      <c r="N69" s="13" t="s">
        <v>467</v>
      </c>
      <c r="O69" s="12">
        <v>0.42280000000000001</v>
      </c>
      <c r="P69" s="11" t="s">
        <v>386</v>
      </c>
      <c r="Q69" s="11"/>
      <c r="R69" s="11" t="s">
        <v>301</v>
      </c>
      <c r="S69" s="11" t="s">
        <v>159</v>
      </c>
      <c r="T69" s="9"/>
      <c r="U69" s="9"/>
      <c r="V69" s="9"/>
      <c r="W69" s="9"/>
      <c r="X69" s="14"/>
      <c r="Y69" s="14"/>
      <c r="Z69" s="14"/>
      <c r="AA69" t="str">
        <f t="shared" si="2"/>
        <v>Pendiente</v>
      </c>
    </row>
    <row r="70" spans="1:27" ht="27" hidden="1">
      <c r="A70" s="11" t="s">
        <v>429</v>
      </c>
      <c r="B70" s="11" t="s">
        <v>310</v>
      </c>
      <c r="C70" s="11" t="s">
        <v>240</v>
      </c>
      <c r="D70" s="11" t="s">
        <v>241</v>
      </c>
      <c r="E70" s="11">
        <v>9</v>
      </c>
      <c r="F70" s="11" t="s">
        <v>294</v>
      </c>
      <c r="G70" s="11" t="s">
        <v>468</v>
      </c>
      <c r="H70" s="11" t="s">
        <v>155</v>
      </c>
      <c r="I70" s="11" t="s">
        <v>59</v>
      </c>
      <c r="J70" s="11" t="s">
        <v>59</v>
      </c>
      <c r="K70" s="11">
        <v>4</v>
      </c>
      <c r="L70" s="13" t="s">
        <v>469</v>
      </c>
      <c r="M70" s="13" t="s">
        <v>470</v>
      </c>
      <c r="N70" s="13" t="s">
        <v>471</v>
      </c>
      <c r="O70" s="12">
        <v>0.42109999999999997</v>
      </c>
      <c r="P70" s="11" t="s">
        <v>299</v>
      </c>
      <c r="Q70" s="11"/>
      <c r="R70" s="11" t="s">
        <v>301</v>
      </c>
      <c r="S70" s="11" t="s">
        <v>64</v>
      </c>
      <c r="T70" s="9"/>
      <c r="U70" s="9"/>
      <c r="V70" s="9"/>
      <c r="W70" s="9"/>
      <c r="X70" s="14"/>
      <c r="Y70" s="14"/>
      <c r="Z70" s="14"/>
      <c r="AA70" t="str">
        <f t="shared" si="2"/>
        <v>Pendiente</v>
      </c>
    </row>
    <row r="71" spans="1:27" ht="40.5" hidden="1">
      <c r="A71" s="11" t="s">
        <v>429</v>
      </c>
      <c r="B71" s="11" t="s">
        <v>375</v>
      </c>
      <c r="C71" s="11" t="s">
        <v>240</v>
      </c>
      <c r="D71" s="11" t="s">
        <v>241</v>
      </c>
      <c r="E71" s="11">
        <v>8</v>
      </c>
      <c r="F71" s="11" t="s">
        <v>370</v>
      </c>
      <c r="G71" s="11" t="s">
        <v>472</v>
      </c>
      <c r="H71" s="11" t="s">
        <v>155</v>
      </c>
      <c r="I71" s="11" t="s">
        <v>60</v>
      </c>
      <c r="J71" s="11" t="s">
        <v>59</v>
      </c>
      <c r="K71" s="11">
        <v>6</v>
      </c>
      <c r="L71" s="13" t="s">
        <v>473</v>
      </c>
      <c r="M71" s="13" t="s">
        <v>474</v>
      </c>
      <c r="N71" s="13" t="s">
        <v>475</v>
      </c>
      <c r="O71" s="12">
        <v>0.41799999999999998</v>
      </c>
      <c r="P71" s="11" t="s">
        <v>375</v>
      </c>
      <c r="Q71" s="11"/>
      <c r="R71" s="11" t="s">
        <v>301</v>
      </c>
      <c r="S71" s="11" t="s">
        <v>64</v>
      </c>
      <c r="T71" s="9"/>
      <c r="U71" s="9"/>
      <c r="V71" s="9"/>
      <c r="W71" s="9"/>
      <c r="X71" s="14"/>
      <c r="Y71" s="14"/>
      <c r="Z71" s="14"/>
      <c r="AA71" t="str">
        <f t="shared" si="2"/>
        <v>Pendiente</v>
      </c>
    </row>
    <row r="72" spans="1:27" ht="27" hidden="1">
      <c r="A72" s="11" t="s">
        <v>429</v>
      </c>
      <c r="B72" s="11" t="s">
        <v>476</v>
      </c>
      <c r="C72" s="11" t="s">
        <v>168</v>
      </c>
      <c r="D72" s="11" t="s">
        <v>169</v>
      </c>
      <c r="E72" s="11">
        <v>8</v>
      </c>
      <c r="F72" s="11" t="s">
        <v>226</v>
      </c>
      <c r="G72" s="11" t="s">
        <v>477</v>
      </c>
      <c r="H72" s="11" t="s">
        <v>197</v>
      </c>
      <c r="I72" s="11" t="s">
        <v>59</v>
      </c>
      <c r="J72" s="11" t="s">
        <v>60</v>
      </c>
      <c r="K72" s="11">
        <v>6</v>
      </c>
      <c r="L72" s="13" t="s">
        <v>478</v>
      </c>
      <c r="M72" s="13" t="s">
        <v>478</v>
      </c>
      <c r="N72" s="13" t="s">
        <v>479</v>
      </c>
      <c r="O72" s="12">
        <v>0.4108</v>
      </c>
      <c r="P72" s="11" t="s">
        <v>231</v>
      </c>
      <c r="Q72" s="11"/>
      <c r="R72" s="11" t="s">
        <v>301</v>
      </c>
      <c r="S72" s="11" t="s">
        <v>64</v>
      </c>
      <c r="T72" s="9"/>
      <c r="U72" s="9"/>
      <c r="V72" s="9"/>
      <c r="W72" s="9"/>
      <c r="X72" s="14"/>
      <c r="Y72" s="14"/>
      <c r="Z72" s="14"/>
      <c r="AA72" t="str">
        <f t="shared" si="2"/>
        <v>Pendiente</v>
      </c>
    </row>
    <row r="73" spans="1:27" ht="27" hidden="1">
      <c r="A73" s="11" t="s">
        <v>429</v>
      </c>
      <c r="B73" s="11" t="s">
        <v>480</v>
      </c>
      <c r="C73" s="11" t="s">
        <v>168</v>
      </c>
      <c r="D73" s="11" t="s">
        <v>169</v>
      </c>
      <c r="E73" s="11">
        <v>4</v>
      </c>
      <c r="F73" s="11" t="s">
        <v>189</v>
      </c>
      <c r="G73" s="11" t="s">
        <v>481</v>
      </c>
      <c r="H73" s="11" t="s">
        <v>118</v>
      </c>
      <c r="I73" s="11" t="s">
        <v>59</v>
      </c>
      <c r="J73" s="11" t="s">
        <v>59</v>
      </c>
      <c r="K73" s="11">
        <v>4</v>
      </c>
      <c r="L73" s="13" t="s">
        <v>482</v>
      </c>
      <c r="M73" s="13" t="s">
        <v>483</v>
      </c>
      <c r="N73" s="13" t="s">
        <v>484</v>
      </c>
      <c r="O73" s="12">
        <v>0.40539999999999998</v>
      </c>
      <c r="P73" s="11" t="s">
        <v>201</v>
      </c>
      <c r="Q73" s="11"/>
      <c r="R73" s="11" t="s">
        <v>301</v>
      </c>
      <c r="S73" s="11" t="s">
        <v>64</v>
      </c>
      <c r="T73" s="9"/>
      <c r="U73" s="9"/>
      <c r="V73" s="9"/>
      <c r="W73" s="9"/>
      <c r="X73" s="14"/>
      <c r="Y73" s="14"/>
      <c r="Z73" s="14"/>
      <c r="AA73" t="str">
        <f t="shared" si="2"/>
        <v>Pendiente</v>
      </c>
    </row>
    <row r="74" spans="1:27" ht="27" hidden="1">
      <c r="A74" s="11" t="s">
        <v>429</v>
      </c>
      <c r="B74" s="11" t="s">
        <v>485</v>
      </c>
      <c r="C74" s="11" t="s">
        <v>168</v>
      </c>
      <c r="D74" s="11" t="s">
        <v>169</v>
      </c>
      <c r="E74" s="11">
        <v>4</v>
      </c>
      <c r="F74" s="11" t="s">
        <v>189</v>
      </c>
      <c r="G74" s="11" t="s">
        <v>486</v>
      </c>
      <c r="H74" s="11" t="s">
        <v>155</v>
      </c>
      <c r="I74" s="11" t="s">
        <v>60</v>
      </c>
      <c r="J74" s="11" t="s">
        <v>59</v>
      </c>
      <c r="K74" s="11">
        <v>6</v>
      </c>
      <c r="L74" s="13" t="s">
        <v>487</v>
      </c>
      <c r="M74" s="13" t="s">
        <v>488</v>
      </c>
      <c r="N74" s="13" t="s">
        <v>489</v>
      </c>
      <c r="O74" s="12">
        <v>0.39789999999999998</v>
      </c>
      <c r="P74" s="11" t="s">
        <v>201</v>
      </c>
      <c r="Q74" s="11"/>
      <c r="R74" s="11" t="s">
        <v>301</v>
      </c>
      <c r="S74" s="11" t="s">
        <v>64</v>
      </c>
      <c r="T74" s="9"/>
      <c r="U74" s="9"/>
      <c r="V74" s="9"/>
      <c r="W74" s="9"/>
      <c r="X74" s="14"/>
      <c r="Y74" s="14"/>
      <c r="Z74" s="14"/>
      <c r="AA74" t="str">
        <f t="shared" si="2"/>
        <v>Pendiente</v>
      </c>
    </row>
    <row r="75" spans="1:27" ht="27" hidden="1">
      <c r="A75" s="11" t="s">
        <v>429</v>
      </c>
      <c r="B75" s="11" t="s">
        <v>490</v>
      </c>
      <c r="C75" s="11" t="s">
        <v>168</v>
      </c>
      <c r="D75" s="11" t="s">
        <v>169</v>
      </c>
      <c r="E75" s="11">
        <v>8</v>
      </c>
      <c r="F75" s="11" t="s">
        <v>220</v>
      </c>
      <c r="G75" s="11" t="s">
        <v>491</v>
      </c>
      <c r="H75" s="11" t="s">
        <v>131</v>
      </c>
      <c r="I75" s="11" t="s">
        <v>60</v>
      </c>
      <c r="J75" s="11" t="s">
        <v>60</v>
      </c>
      <c r="K75" s="11">
        <v>9</v>
      </c>
      <c r="L75" s="13" t="s">
        <v>492</v>
      </c>
      <c r="M75" s="13" t="s">
        <v>493</v>
      </c>
      <c r="N75" s="13" t="s">
        <v>494</v>
      </c>
      <c r="O75" s="12">
        <v>0.3972</v>
      </c>
      <c r="P75" s="11" t="s">
        <v>495</v>
      </c>
      <c r="Q75" s="11"/>
      <c r="R75" s="11" t="s">
        <v>301</v>
      </c>
      <c r="S75" s="11" t="s">
        <v>64</v>
      </c>
      <c r="T75" s="9"/>
      <c r="U75" s="9"/>
      <c r="V75" s="9"/>
      <c r="W75" s="9"/>
      <c r="X75" s="14"/>
      <c r="Y75" s="14"/>
      <c r="Z75" s="14"/>
      <c r="AA75" t="str">
        <f t="shared" si="2"/>
        <v>Pendiente</v>
      </c>
    </row>
    <row r="76" spans="1:27" ht="27" hidden="1">
      <c r="A76" s="11" t="s">
        <v>429</v>
      </c>
      <c r="B76" s="11" t="s">
        <v>496</v>
      </c>
      <c r="C76" s="11" t="s">
        <v>240</v>
      </c>
      <c r="D76" s="11" t="s">
        <v>241</v>
      </c>
      <c r="E76" s="11">
        <v>9</v>
      </c>
      <c r="F76" s="11" t="s">
        <v>294</v>
      </c>
      <c r="G76" s="11" t="s">
        <v>497</v>
      </c>
      <c r="H76" s="11" t="s">
        <v>58</v>
      </c>
      <c r="I76" s="11" t="s">
        <v>59</v>
      </c>
      <c r="J76" s="11" t="s">
        <v>60</v>
      </c>
      <c r="K76" s="11">
        <v>6</v>
      </c>
      <c r="L76" s="13" t="s">
        <v>498</v>
      </c>
      <c r="M76" s="13" t="s">
        <v>499</v>
      </c>
      <c r="N76" s="13" t="s">
        <v>500</v>
      </c>
      <c r="O76" s="12">
        <v>0.39269999999999999</v>
      </c>
      <c r="P76" s="11" t="s">
        <v>310</v>
      </c>
      <c r="Q76" s="11"/>
      <c r="R76" s="11" t="s">
        <v>301</v>
      </c>
      <c r="S76" s="11" t="s">
        <v>64</v>
      </c>
      <c r="T76" s="9"/>
      <c r="U76" s="9"/>
      <c r="V76" s="9"/>
      <c r="W76" s="9"/>
      <c r="X76" s="14"/>
      <c r="Y76" s="14"/>
      <c r="Z76" s="14"/>
      <c r="AA76" t="str">
        <f t="shared" si="2"/>
        <v>Pendiente</v>
      </c>
    </row>
    <row r="77" spans="1:27" ht="40.5" hidden="1">
      <c r="A77" s="11" t="s">
        <v>429</v>
      </c>
      <c r="B77" s="11" t="s">
        <v>501</v>
      </c>
      <c r="C77" s="11" t="s">
        <v>168</v>
      </c>
      <c r="D77" s="11" t="s">
        <v>169</v>
      </c>
      <c r="E77" s="11">
        <v>4</v>
      </c>
      <c r="F77" s="11" t="s">
        <v>177</v>
      </c>
      <c r="G77" s="11" t="s">
        <v>502</v>
      </c>
      <c r="H77" s="11" t="s">
        <v>155</v>
      </c>
      <c r="I77" s="11" t="s">
        <v>59</v>
      </c>
      <c r="J77" s="11" t="s">
        <v>59</v>
      </c>
      <c r="K77" s="11">
        <v>4</v>
      </c>
      <c r="L77" s="13" t="s">
        <v>503</v>
      </c>
      <c r="M77" s="13" t="s">
        <v>504</v>
      </c>
      <c r="N77" s="13" t="s">
        <v>505</v>
      </c>
      <c r="O77" s="12">
        <v>0.39150000000000001</v>
      </c>
      <c r="P77" s="11" t="s">
        <v>176</v>
      </c>
      <c r="Q77" s="11"/>
      <c r="R77" s="11" t="s">
        <v>301</v>
      </c>
      <c r="S77" s="11" t="s">
        <v>64</v>
      </c>
      <c r="T77" s="9"/>
      <c r="U77" s="9"/>
      <c r="V77" s="9"/>
      <c r="W77" s="9"/>
      <c r="X77" s="14"/>
      <c r="Y77" s="14"/>
      <c r="Z77" s="14"/>
      <c r="AA77" t="str">
        <f t="shared" si="2"/>
        <v>Pendiente</v>
      </c>
    </row>
    <row r="78" spans="1:27" ht="40.5" hidden="1">
      <c r="A78" s="11" t="s">
        <v>429</v>
      </c>
      <c r="B78" s="11" t="s">
        <v>506</v>
      </c>
      <c r="C78" s="11" t="s">
        <v>54</v>
      </c>
      <c r="D78" s="11" t="s">
        <v>55</v>
      </c>
      <c r="E78" s="11">
        <v>6</v>
      </c>
      <c r="F78" s="11" t="s">
        <v>142</v>
      </c>
      <c r="G78" s="11" t="s">
        <v>507</v>
      </c>
      <c r="H78" s="11" t="s">
        <v>58</v>
      </c>
      <c r="I78" s="11" t="s">
        <v>59</v>
      </c>
      <c r="J78" s="11" t="s">
        <v>59</v>
      </c>
      <c r="K78" s="11">
        <v>4</v>
      </c>
      <c r="L78" s="13" t="s">
        <v>508</v>
      </c>
      <c r="M78" s="13" t="s">
        <v>509</v>
      </c>
      <c r="N78" s="13" t="s">
        <v>510</v>
      </c>
      <c r="O78" s="12">
        <v>0.38879999999999998</v>
      </c>
      <c r="P78" s="11" t="s">
        <v>141</v>
      </c>
      <c r="Q78" s="11"/>
      <c r="R78" s="11" t="s">
        <v>301</v>
      </c>
      <c r="S78" s="11" t="s">
        <v>64</v>
      </c>
      <c r="T78" s="9"/>
      <c r="U78" s="9"/>
      <c r="V78" s="9"/>
      <c r="W78" s="9"/>
      <c r="X78" s="14"/>
      <c r="Y78" s="14"/>
      <c r="Z78" s="14"/>
      <c r="AA78" t="str">
        <f t="shared" si="2"/>
        <v>Pendiente</v>
      </c>
    </row>
    <row r="79" spans="1:27" ht="27" hidden="1">
      <c r="A79" s="11" t="s">
        <v>429</v>
      </c>
      <c r="B79" s="11" t="s">
        <v>511</v>
      </c>
      <c r="C79" s="11" t="s">
        <v>168</v>
      </c>
      <c r="D79" s="11" t="s">
        <v>169</v>
      </c>
      <c r="E79" s="11">
        <v>8</v>
      </c>
      <c r="F79" s="11" t="s">
        <v>220</v>
      </c>
      <c r="G79" s="11" t="s">
        <v>468</v>
      </c>
      <c r="H79" s="11" t="s">
        <v>155</v>
      </c>
      <c r="I79" s="11" t="s">
        <v>59</v>
      </c>
      <c r="J79" s="11" t="s">
        <v>59</v>
      </c>
      <c r="K79" s="11">
        <v>4</v>
      </c>
      <c r="L79" s="13" t="s">
        <v>512</v>
      </c>
      <c r="M79" s="13" t="s">
        <v>513</v>
      </c>
      <c r="N79" s="13" t="s">
        <v>514</v>
      </c>
      <c r="O79" s="12">
        <v>0.38829999999999998</v>
      </c>
      <c r="P79" s="11" t="s">
        <v>495</v>
      </c>
      <c r="Q79" s="11"/>
      <c r="R79" s="11" t="s">
        <v>301</v>
      </c>
      <c r="S79" s="11" t="s">
        <v>64</v>
      </c>
      <c r="T79" s="9"/>
      <c r="U79" s="9"/>
      <c r="V79" s="9"/>
      <c r="W79" s="9"/>
      <c r="X79" s="14"/>
      <c r="Y79" s="14"/>
      <c r="Z79" s="14"/>
      <c r="AA79" t="str">
        <f t="shared" si="2"/>
        <v>Pendiente</v>
      </c>
    </row>
    <row r="80" spans="1:27" ht="27" hidden="1">
      <c r="A80" s="11" t="s">
        <v>429</v>
      </c>
      <c r="B80" s="11" t="s">
        <v>515</v>
      </c>
      <c r="C80" s="11" t="s">
        <v>54</v>
      </c>
      <c r="D80" s="11" t="s">
        <v>55</v>
      </c>
      <c r="E80" s="11">
        <v>5</v>
      </c>
      <c r="F80" s="11" t="s">
        <v>123</v>
      </c>
      <c r="G80" s="11" t="s">
        <v>137</v>
      </c>
      <c r="H80" s="11" t="s">
        <v>197</v>
      </c>
      <c r="I80" s="11" t="s">
        <v>59</v>
      </c>
      <c r="J80" s="11" t="s">
        <v>60</v>
      </c>
      <c r="K80" s="11">
        <v>6</v>
      </c>
      <c r="L80" s="13" t="s">
        <v>516</v>
      </c>
      <c r="M80" s="13" t="s">
        <v>139</v>
      </c>
      <c r="N80" s="13" t="s">
        <v>517</v>
      </c>
      <c r="O80" s="12">
        <v>0.38579999999999998</v>
      </c>
      <c r="P80" s="11" t="s">
        <v>122</v>
      </c>
      <c r="Q80" s="11"/>
      <c r="R80" s="11" t="s">
        <v>301</v>
      </c>
      <c r="S80" s="11" t="s">
        <v>64</v>
      </c>
      <c r="T80" s="9"/>
      <c r="U80" s="9"/>
      <c r="V80" s="9"/>
      <c r="W80" s="9"/>
      <c r="X80" s="14"/>
      <c r="Y80" s="14"/>
      <c r="Z80" s="14"/>
      <c r="AA80" t="str">
        <f t="shared" si="2"/>
        <v>Pendiente</v>
      </c>
    </row>
    <row r="81" spans="1:27" ht="40.5" hidden="1">
      <c r="A81" s="11" t="s">
        <v>429</v>
      </c>
      <c r="B81" s="11" t="s">
        <v>518</v>
      </c>
      <c r="C81" s="11" t="s">
        <v>168</v>
      </c>
      <c r="D81" s="11" t="s">
        <v>169</v>
      </c>
      <c r="E81" s="11">
        <v>9</v>
      </c>
      <c r="F81" s="11" t="s">
        <v>233</v>
      </c>
      <c r="G81" s="11" t="s">
        <v>519</v>
      </c>
      <c r="H81" s="11" t="s">
        <v>118</v>
      </c>
      <c r="I81" s="11" t="s">
        <v>59</v>
      </c>
      <c r="J81" s="11" t="s">
        <v>59</v>
      </c>
      <c r="K81" s="11">
        <v>4</v>
      </c>
      <c r="L81" s="13" t="s">
        <v>520</v>
      </c>
      <c r="M81" s="13" t="s">
        <v>521</v>
      </c>
      <c r="N81" s="13" t="s">
        <v>522</v>
      </c>
      <c r="O81" s="12">
        <v>0.38579999999999998</v>
      </c>
      <c r="P81" s="11" t="s">
        <v>385</v>
      </c>
      <c r="Q81" s="11"/>
      <c r="R81" s="11" t="s">
        <v>301</v>
      </c>
      <c r="S81" s="11" t="s">
        <v>64</v>
      </c>
      <c r="T81" s="9"/>
      <c r="U81" s="9"/>
      <c r="V81" s="9"/>
      <c r="W81" s="9"/>
      <c r="X81" s="14"/>
      <c r="Y81" s="14"/>
      <c r="Z81" s="14"/>
      <c r="AA81" t="str">
        <f t="shared" si="2"/>
        <v>Pendiente</v>
      </c>
    </row>
    <row r="82" spans="1:27" ht="27" hidden="1">
      <c r="A82" s="11" t="s">
        <v>429</v>
      </c>
      <c r="B82" s="11" t="s">
        <v>523</v>
      </c>
      <c r="C82" s="11" t="s">
        <v>54</v>
      </c>
      <c r="D82" s="11" t="s">
        <v>55</v>
      </c>
      <c r="E82" s="11">
        <v>2</v>
      </c>
      <c r="F82" s="11" t="s">
        <v>66</v>
      </c>
      <c r="G82" s="11" t="s">
        <v>524</v>
      </c>
      <c r="H82" s="11" t="s">
        <v>155</v>
      </c>
      <c r="I82" s="11" t="s">
        <v>59</v>
      </c>
      <c r="J82" s="11" t="s">
        <v>59</v>
      </c>
      <c r="K82" s="11">
        <v>4</v>
      </c>
      <c r="L82" s="13" t="s">
        <v>525</v>
      </c>
      <c r="M82" s="13" t="s">
        <v>526</v>
      </c>
      <c r="N82" s="13" t="s">
        <v>527</v>
      </c>
      <c r="O82" s="12">
        <v>0.3805</v>
      </c>
      <c r="P82" s="11" t="s">
        <v>71</v>
      </c>
      <c r="Q82" s="11"/>
      <c r="R82" s="11" t="s">
        <v>301</v>
      </c>
      <c r="S82" s="11" t="s">
        <v>64</v>
      </c>
      <c r="T82" s="9"/>
      <c r="U82" s="9"/>
      <c r="V82" s="9"/>
      <c r="W82" s="9"/>
      <c r="X82" s="14"/>
      <c r="Y82" s="14"/>
      <c r="Z82" s="14"/>
      <c r="AA82" t="str">
        <f t="shared" si="2"/>
        <v>Pendiente</v>
      </c>
    </row>
    <row r="83" spans="1:27" ht="27" hidden="1">
      <c r="A83" s="11" t="s">
        <v>429</v>
      </c>
      <c r="B83" s="11" t="s">
        <v>528</v>
      </c>
      <c r="C83" s="11" t="s">
        <v>240</v>
      </c>
      <c r="D83" s="11" t="s">
        <v>241</v>
      </c>
      <c r="E83" s="11">
        <v>9</v>
      </c>
      <c r="F83" s="11" t="s">
        <v>294</v>
      </c>
      <c r="G83" s="11" t="s">
        <v>529</v>
      </c>
      <c r="H83" s="11" t="s">
        <v>155</v>
      </c>
      <c r="I83" s="11" t="s">
        <v>59</v>
      </c>
      <c r="J83" s="11" t="s">
        <v>59</v>
      </c>
      <c r="K83" s="11">
        <v>4</v>
      </c>
      <c r="L83" s="13" t="s">
        <v>530</v>
      </c>
      <c r="M83" s="13" t="s">
        <v>531</v>
      </c>
      <c r="N83" s="13" t="s">
        <v>532</v>
      </c>
      <c r="O83" s="12">
        <v>0.38</v>
      </c>
      <c r="P83" s="11" t="s">
        <v>305</v>
      </c>
      <c r="Q83" s="11"/>
      <c r="R83" s="11" t="s">
        <v>301</v>
      </c>
      <c r="S83" s="11" t="s">
        <v>64</v>
      </c>
      <c r="T83" s="9"/>
      <c r="U83" s="9"/>
      <c r="V83" s="9"/>
      <c r="W83" s="9"/>
      <c r="X83" s="14"/>
      <c r="Y83" s="14"/>
      <c r="Z83" s="14"/>
      <c r="AA83" t="str">
        <f t="shared" si="2"/>
        <v>Pendiente</v>
      </c>
    </row>
    <row r="84" spans="1:27" ht="27" hidden="1">
      <c r="A84" s="11" t="s">
        <v>429</v>
      </c>
      <c r="B84" s="11" t="s">
        <v>533</v>
      </c>
      <c r="C84" s="11" t="s">
        <v>240</v>
      </c>
      <c r="D84" s="11" t="s">
        <v>241</v>
      </c>
      <c r="E84" s="11">
        <v>6</v>
      </c>
      <c r="F84" s="11" t="s">
        <v>280</v>
      </c>
      <c r="G84" s="11" t="s">
        <v>534</v>
      </c>
      <c r="H84" s="11" t="s">
        <v>131</v>
      </c>
      <c r="I84" s="11" t="s">
        <v>60</v>
      </c>
      <c r="J84" s="11" t="s">
        <v>59</v>
      </c>
      <c r="K84" s="11">
        <v>6</v>
      </c>
      <c r="L84" s="13" t="s">
        <v>535</v>
      </c>
      <c r="M84" s="13" t="s">
        <v>536</v>
      </c>
      <c r="N84" s="13" t="s">
        <v>537</v>
      </c>
      <c r="O84" s="12">
        <v>0.37830000000000003</v>
      </c>
      <c r="P84" s="11" t="s">
        <v>285</v>
      </c>
      <c r="Q84" s="11"/>
      <c r="R84" s="11" t="s">
        <v>301</v>
      </c>
      <c r="S84" s="11" t="s">
        <v>64</v>
      </c>
      <c r="T84" s="9"/>
      <c r="U84" s="9"/>
      <c r="V84" s="9"/>
      <c r="W84" s="9"/>
      <c r="X84" s="14"/>
      <c r="Y84" s="14"/>
      <c r="Z84" s="14"/>
      <c r="AA84" t="str">
        <f t="shared" si="2"/>
        <v>Pendiente</v>
      </c>
    </row>
    <row r="85" spans="1:27" ht="40.5" hidden="1">
      <c r="A85" s="11" t="s">
        <v>429</v>
      </c>
      <c r="B85" s="11" t="s">
        <v>538</v>
      </c>
      <c r="C85" s="11" t="s">
        <v>54</v>
      </c>
      <c r="D85" s="11" t="s">
        <v>55</v>
      </c>
      <c r="E85" s="11">
        <v>7</v>
      </c>
      <c r="F85" s="11" t="s">
        <v>161</v>
      </c>
      <c r="G85" s="11" t="s">
        <v>539</v>
      </c>
      <c r="H85" s="11" t="s">
        <v>58</v>
      </c>
      <c r="I85" s="11" t="s">
        <v>59</v>
      </c>
      <c r="J85" s="11" t="s">
        <v>60</v>
      </c>
      <c r="K85" s="11">
        <v>6</v>
      </c>
      <c r="L85" s="13" t="s">
        <v>540</v>
      </c>
      <c r="M85" s="13" t="s">
        <v>541</v>
      </c>
      <c r="N85" s="13" t="s">
        <v>542</v>
      </c>
      <c r="O85" s="12">
        <v>0.37690000000000001</v>
      </c>
      <c r="P85" s="11" t="s">
        <v>166</v>
      </c>
      <c r="Q85" s="11"/>
      <c r="R85" s="11" t="s">
        <v>301</v>
      </c>
      <c r="S85" s="11" t="s">
        <v>64</v>
      </c>
      <c r="T85" s="9"/>
      <c r="U85" s="9"/>
      <c r="V85" s="9"/>
      <c r="W85" s="9"/>
      <c r="X85" s="14"/>
      <c r="Y85" s="14"/>
      <c r="Z85" s="14"/>
      <c r="AA85" t="str">
        <f t="shared" si="2"/>
        <v>Pendiente</v>
      </c>
    </row>
    <row r="86" spans="1:27" ht="40.5" hidden="1">
      <c r="A86" s="11" t="s">
        <v>429</v>
      </c>
      <c r="B86" s="11" t="s">
        <v>543</v>
      </c>
      <c r="C86" s="11" t="s">
        <v>54</v>
      </c>
      <c r="D86" s="11" t="s">
        <v>55</v>
      </c>
      <c r="E86" s="11">
        <v>7</v>
      </c>
      <c r="F86" s="11" t="s">
        <v>161</v>
      </c>
      <c r="G86" s="11" t="s">
        <v>544</v>
      </c>
      <c r="H86" s="11" t="s">
        <v>58</v>
      </c>
      <c r="I86" s="11" t="s">
        <v>59</v>
      </c>
      <c r="J86" s="11" t="s">
        <v>59</v>
      </c>
      <c r="K86" s="11">
        <v>4</v>
      </c>
      <c r="L86" s="13" t="s">
        <v>545</v>
      </c>
      <c r="M86" s="13" t="s">
        <v>546</v>
      </c>
      <c r="N86" s="13" t="s">
        <v>547</v>
      </c>
      <c r="O86" s="12">
        <v>0.37030000000000002</v>
      </c>
      <c r="P86" s="11" t="s">
        <v>166</v>
      </c>
      <c r="Q86" s="11"/>
      <c r="R86" s="11" t="s">
        <v>301</v>
      </c>
      <c r="S86" s="11" t="s">
        <v>64</v>
      </c>
      <c r="T86" s="9"/>
      <c r="U86" s="9"/>
      <c r="V86" s="9"/>
      <c r="W86" s="9"/>
      <c r="X86" s="14"/>
      <c r="Y86" s="14"/>
      <c r="Z86" s="14"/>
      <c r="AA86" t="str">
        <f t="shared" si="2"/>
        <v>Pendiente</v>
      </c>
    </row>
    <row r="87" spans="1:27" ht="40.5" hidden="1">
      <c r="A87" s="11" t="s">
        <v>429</v>
      </c>
      <c r="B87" s="11" t="s">
        <v>548</v>
      </c>
      <c r="C87" s="11" t="s">
        <v>54</v>
      </c>
      <c r="D87" s="11" t="s">
        <v>55</v>
      </c>
      <c r="E87" s="11">
        <v>6</v>
      </c>
      <c r="F87" s="11" t="s">
        <v>153</v>
      </c>
      <c r="G87" s="11" t="s">
        <v>549</v>
      </c>
      <c r="H87" s="11" t="s">
        <v>112</v>
      </c>
      <c r="I87" s="11" t="s">
        <v>59</v>
      </c>
      <c r="J87" s="11" t="s">
        <v>59</v>
      </c>
      <c r="K87" s="11">
        <v>4</v>
      </c>
      <c r="L87" s="13" t="s">
        <v>550</v>
      </c>
      <c r="M87" s="13" t="s">
        <v>551</v>
      </c>
      <c r="N87" s="13" t="s">
        <v>552</v>
      </c>
      <c r="O87" s="12">
        <v>0.36</v>
      </c>
      <c r="P87" s="11" t="s">
        <v>152</v>
      </c>
      <c r="Q87" s="11"/>
      <c r="R87" s="11" t="s">
        <v>301</v>
      </c>
      <c r="S87" s="11" t="s">
        <v>267</v>
      </c>
      <c r="T87" s="9"/>
      <c r="U87" s="9"/>
      <c r="V87" s="9"/>
      <c r="W87" s="9"/>
      <c r="X87" s="14"/>
      <c r="Y87" s="14"/>
      <c r="Z87" s="14"/>
      <c r="AA87" t="str">
        <f t="shared" si="2"/>
        <v>Pendiente</v>
      </c>
    </row>
    <row r="88" spans="1:27" ht="40.5" hidden="1">
      <c r="A88" s="11" t="s">
        <v>429</v>
      </c>
      <c r="B88" s="11" t="s">
        <v>385</v>
      </c>
      <c r="C88" s="11" t="s">
        <v>168</v>
      </c>
      <c r="D88" s="11" t="s">
        <v>169</v>
      </c>
      <c r="E88" s="11">
        <v>9</v>
      </c>
      <c r="F88" s="11" t="s">
        <v>233</v>
      </c>
      <c r="G88" s="11" t="s">
        <v>553</v>
      </c>
      <c r="H88" s="11" t="s">
        <v>197</v>
      </c>
      <c r="I88" s="11" t="s">
        <v>59</v>
      </c>
      <c r="J88" s="11" t="s">
        <v>59</v>
      </c>
      <c r="K88" s="11">
        <v>4</v>
      </c>
      <c r="L88" s="13" t="s">
        <v>554</v>
      </c>
      <c r="M88" s="13" t="s">
        <v>555</v>
      </c>
      <c r="N88" s="13" t="s">
        <v>556</v>
      </c>
      <c r="O88" s="12">
        <v>0.3579</v>
      </c>
      <c r="P88" s="11" t="s">
        <v>238</v>
      </c>
      <c r="Q88" s="11"/>
      <c r="R88" s="11" t="s">
        <v>301</v>
      </c>
      <c r="S88" s="11" t="s">
        <v>159</v>
      </c>
      <c r="T88" s="9"/>
      <c r="U88" s="9"/>
      <c r="V88" s="9"/>
      <c r="W88" s="9"/>
      <c r="X88" s="14"/>
      <c r="Y88" s="14"/>
      <c r="Z88" s="14"/>
      <c r="AA88" t="str">
        <f t="shared" si="2"/>
        <v>Pendiente</v>
      </c>
    </row>
    <row r="89" spans="1:27" ht="40.5" hidden="1">
      <c r="A89" s="11" t="s">
        <v>429</v>
      </c>
      <c r="B89" s="11" t="s">
        <v>557</v>
      </c>
      <c r="C89" s="11" t="s">
        <v>168</v>
      </c>
      <c r="D89" s="11" t="s">
        <v>169</v>
      </c>
      <c r="E89" s="11">
        <v>5</v>
      </c>
      <c r="F89" s="11" t="s">
        <v>203</v>
      </c>
      <c r="G89" s="11" t="s">
        <v>558</v>
      </c>
      <c r="H89" s="11" t="s">
        <v>58</v>
      </c>
      <c r="I89" s="11" t="s">
        <v>59</v>
      </c>
      <c r="J89" s="11" t="s">
        <v>60</v>
      </c>
      <c r="K89" s="11">
        <v>6</v>
      </c>
      <c r="L89" s="13" t="s">
        <v>559</v>
      </c>
      <c r="M89" s="13" t="s">
        <v>560</v>
      </c>
      <c r="N89" s="13" t="s">
        <v>561</v>
      </c>
      <c r="O89" s="12">
        <v>0.35770000000000002</v>
      </c>
      <c r="P89" s="11" t="s">
        <v>202</v>
      </c>
      <c r="Q89" s="11"/>
      <c r="R89" s="11" t="s">
        <v>301</v>
      </c>
      <c r="S89" s="11" t="s">
        <v>64</v>
      </c>
      <c r="T89" s="9"/>
      <c r="U89" s="9"/>
      <c r="V89" s="9"/>
      <c r="W89" s="9"/>
      <c r="X89" s="14"/>
      <c r="Y89" s="14"/>
      <c r="Z89" s="14"/>
      <c r="AA89" t="str">
        <f t="shared" si="2"/>
        <v>Pendiente</v>
      </c>
    </row>
    <row r="90" spans="1:27" ht="40.5" hidden="1">
      <c r="A90" s="11" t="s">
        <v>429</v>
      </c>
      <c r="B90" s="11" t="s">
        <v>562</v>
      </c>
      <c r="C90" s="11" t="s">
        <v>54</v>
      </c>
      <c r="D90" s="11" t="s">
        <v>55</v>
      </c>
      <c r="E90" s="11">
        <v>3</v>
      </c>
      <c r="F90" s="11" t="s">
        <v>77</v>
      </c>
      <c r="G90" s="11" t="s">
        <v>563</v>
      </c>
      <c r="H90" s="11" t="s">
        <v>197</v>
      </c>
      <c r="I90" s="11" t="s">
        <v>59</v>
      </c>
      <c r="J90" s="11" t="s">
        <v>60</v>
      </c>
      <c r="K90" s="11">
        <v>6</v>
      </c>
      <c r="L90" s="13" t="s">
        <v>564</v>
      </c>
      <c r="M90" s="13" t="s">
        <v>565</v>
      </c>
      <c r="N90" s="13" t="s">
        <v>566</v>
      </c>
      <c r="O90" s="12">
        <v>0.35639999999999999</v>
      </c>
      <c r="P90" s="11" t="s">
        <v>76</v>
      </c>
      <c r="Q90" s="11"/>
      <c r="R90" s="11" t="s">
        <v>301</v>
      </c>
      <c r="S90" s="11" t="s">
        <v>159</v>
      </c>
      <c r="T90" s="9"/>
      <c r="U90" s="9"/>
      <c r="V90" s="9"/>
      <c r="W90" s="9"/>
      <c r="X90" s="14"/>
      <c r="Y90" s="14"/>
      <c r="Z90" s="14"/>
      <c r="AA90" t="str">
        <f t="shared" si="2"/>
        <v>Pendiente</v>
      </c>
    </row>
    <row r="91" spans="1:27" ht="40.5" hidden="1">
      <c r="A91" s="11" t="s">
        <v>429</v>
      </c>
      <c r="B91" s="11" t="s">
        <v>495</v>
      </c>
      <c r="C91" s="11" t="s">
        <v>168</v>
      </c>
      <c r="D91" s="11" t="s">
        <v>169</v>
      </c>
      <c r="E91" s="11">
        <v>8</v>
      </c>
      <c r="F91" s="11" t="s">
        <v>220</v>
      </c>
      <c r="G91" s="11" t="s">
        <v>567</v>
      </c>
      <c r="H91" s="11" t="s">
        <v>58</v>
      </c>
      <c r="I91" s="11" t="s">
        <v>59</v>
      </c>
      <c r="J91" s="11" t="s">
        <v>59</v>
      </c>
      <c r="K91" s="11">
        <v>4</v>
      </c>
      <c r="L91" s="13" t="s">
        <v>568</v>
      </c>
      <c r="M91" s="13" t="s">
        <v>569</v>
      </c>
      <c r="N91" s="13" t="s">
        <v>570</v>
      </c>
      <c r="O91" s="12">
        <v>0.35089999999999999</v>
      </c>
      <c r="P91" s="11" t="s">
        <v>495</v>
      </c>
      <c r="Q91" s="11"/>
      <c r="R91" s="11" t="s">
        <v>301</v>
      </c>
      <c r="S91" s="11" t="s">
        <v>64</v>
      </c>
      <c r="T91" s="9"/>
      <c r="U91" s="9"/>
      <c r="V91" s="9"/>
      <c r="W91" s="9"/>
      <c r="X91" s="14"/>
      <c r="Y91" s="14"/>
      <c r="Z91" s="14"/>
      <c r="AA91" t="str">
        <f t="shared" si="2"/>
        <v>Pendiente</v>
      </c>
    </row>
    <row r="92" spans="1:27" ht="54" hidden="1">
      <c r="A92" s="11" t="s">
        <v>429</v>
      </c>
      <c r="B92" s="11" t="s">
        <v>571</v>
      </c>
      <c r="C92" s="11" t="s">
        <v>240</v>
      </c>
      <c r="D92" s="11" t="s">
        <v>241</v>
      </c>
      <c r="E92" s="11">
        <v>3</v>
      </c>
      <c r="F92" s="11" t="s">
        <v>249</v>
      </c>
      <c r="G92" s="11" t="s">
        <v>572</v>
      </c>
      <c r="H92" s="11" t="s">
        <v>155</v>
      </c>
      <c r="I92" s="11" t="s">
        <v>60</v>
      </c>
      <c r="J92" s="11" t="s">
        <v>59</v>
      </c>
      <c r="K92" s="11">
        <v>6</v>
      </c>
      <c r="L92" s="13" t="s">
        <v>573</v>
      </c>
      <c r="M92" s="13" t="s">
        <v>574</v>
      </c>
      <c r="N92" s="13" t="s">
        <v>575</v>
      </c>
      <c r="O92" s="12">
        <v>0.34760000000000002</v>
      </c>
      <c r="P92" s="11" t="s">
        <v>254</v>
      </c>
      <c r="Q92" s="11"/>
      <c r="R92" s="11" t="s">
        <v>301</v>
      </c>
      <c r="S92" s="11" t="s">
        <v>159</v>
      </c>
      <c r="T92" s="9"/>
      <c r="U92" s="9"/>
      <c r="V92" s="9"/>
      <c r="W92" s="9"/>
      <c r="X92" s="14"/>
      <c r="Y92" s="14"/>
      <c r="Z92" s="14"/>
      <c r="AA92" t="str">
        <f t="shared" si="2"/>
        <v>Pendiente</v>
      </c>
    </row>
    <row r="93" spans="1:27" ht="40.5" hidden="1">
      <c r="A93" s="11" t="s">
        <v>429</v>
      </c>
      <c r="B93" s="11" t="s">
        <v>576</v>
      </c>
      <c r="C93" s="11" t="s">
        <v>168</v>
      </c>
      <c r="D93" s="11" t="s">
        <v>169</v>
      </c>
      <c r="E93" s="11">
        <v>6</v>
      </c>
      <c r="F93" s="11" t="s">
        <v>209</v>
      </c>
      <c r="G93" s="11" t="s">
        <v>577</v>
      </c>
      <c r="H93" s="11" t="s">
        <v>155</v>
      </c>
      <c r="I93" s="11" t="s">
        <v>59</v>
      </c>
      <c r="J93" s="11" t="s">
        <v>59</v>
      </c>
      <c r="K93" s="11">
        <v>4</v>
      </c>
      <c r="L93" s="13" t="s">
        <v>578</v>
      </c>
      <c r="M93" s="13" t="s">
        <v>579</v>
      </c>
      <c r="N93" s="13" t="s">
        <v>580</v>
      </c>
      <c r="O93" s="12">
        <v>0.33739999999999998</v>
      </c>
      <c r="P93" s="11" t="s">
        <v>214</v>
      </c>
      <c r="Q93" s="11"/>
      <c r="R93" s="11" t="s">
        <v>301</v>
      </c>
      <c r="S93" s="11" t="s">
        <v>64</v>
      </c>
      <c r="T93" s="9"/>
      <c r="U93" s="9"/>
      <c r="V93" s="9"/>
      <c r="W93" s="9"/>
      <c r="X93" s="14"/>
      <c r="Y93" s="14"/>
      <c r="Z93" s="14"/>
      <c r="AA93" t="str">
        <f t="shared" si="2"/>
        <v>Pendiente</v>
      </c>
    </row>
    <row r="94" spans="1:27" ht="40.5" hidden="1">
      <c r="A94" s="11" t="s">
        <v>429</v>
      </c>
      <c r="B94" s="11" t="s">
        <v>581</v>
      </c>
      <c r="C94" s="11" t="s">
        <v>54</v>
      </c>
      <c r="D94" s="11" t="s">
        <v>55</v>
      </c>
      <c r="E94" s="11">
        <v>4</v>
      </c>
      <c r="F94" s="11" t="s">
        <v>387</v>
      </c>
      <c r="G94" s="11" t="s">
        <v>582</v>
      </c>
      <c r="H94" s="11" t="s">
        <v>155</v>
      </c>
      <c r="I94" s="11" t="s">
        <v>60</v>
      </c>
      <c r="J94" s="11" t="s">
        <v>59</v>
      </c>
      <c r="K94" s="11">
        <v>6</v>
      </c>
      <c r="L94" s="13" t="s">
        <v>583</v>
      </c>
      <c r="M94" s="13" t="s">
        <v>584</v>
      </c>
      <c r="N94" s="13" t="s">
        <v>585</v>
      </c>
      <c r="O94" s="12">
        <v>0.3357</v>
      </c>
      <c r="P94" s="11" t="s">
        <v>386</v>
      </c>
      <c r="Q94" s="11"/>
      <c r="R94" s="11" t="s">
        <v>301</v>
      </c>
      <c r="S94" s="11" t="s">
        <v>64</v>
      </c>
      <c r="T94" s="9"/>
      <c r="U94" s="9"/>
      <c r="V94" s="9"/>
      <c r="W94" s="9"/>
      <c r="X94" s="14"/>
      <c r="Y94" s="14"/>
      <c r="Z94" s="14"/>
      <c r="AA94" t="str">
        <f t="shared" si="2"/>
        <v>Pendiente</v>
      </c>
    </row>
    <row r="95" spans="1:27" ht="40.5" hidden="1">
      <c r="A95" s="11" t="s">
        <v>429</v>
      </c>
      <c r="B95" s="11" t="s">
        <v>586</v>
      </c>
      <c r="C95" s="11" t="s">
        <v>54</v>
      </c>
      <c r="D95" s="11" t="s">
        <v>55</v>
      </c>
      <c r="E95" s="11">
        <v>2</v>
      </c>
      <c r="F95" s="11" t="s">
        <v>418</v>
      </c>
      <c r="G95" s="11" t="s">
        <v>587</v>
      </c>
      <c r="H95" s="11" t="s">
        <v>197</v>
      </c>
      <c r="I95" s="11" t="s">
        <v>59</v>
      </c>
      <c r="J95" s="11" t="s">
        <v>60</v>
      </c>
      <c r="K95" s="11">
        <v>6</v>
      </c>
      <c r="L95" s="13" t="s">
        <v>588</v>
      </c>
      <c r="M95" s="13" t="s">
        <v>589</v>
      </c>
      <c r="N95" s="13" t="s">
        <v>590</v>
      </c>
      <c r="O95" s="12">
        <v>0.32740000000000002</v>
      </c>
      <c r="P95" s="11" t="s">
        <v>423</v>
      </c>
      <c r="Q95" s="11"/>
      <c r="R95" s="11" t="s">
        <v>301</v>
      </c>
      <c r="S95" s="11" t="s">
        <v>64</v>
      </c>
      <c r="T95" s="9"/>
      <c r="U95" s="9"/>
      <c r="V95" s="9"/>
      <c r="W95" s="9"/>
      <c r="X95" s="14"/>
      <c r="Y95" s="14"/>
      <c r="Z95" s="14"/>
      <c r="AA95" t="str">
        <f t="shared" si="2"/>
        <v>Pendiente</v>
      </c>
    </row>
    <row r="96" spans="1:27" ht="40.5" hidden="1">
      <c r="A96" s="11" t="s">
        <v>429</v>
      </c>
      <c r="B96" s="11" t="s">
        <v>591</v>
      </c>
      <c r="C96" s="11" t="s">
        <v>168</v>
      </c>
      <c r="D96" s="11" t="s">
        <v>169</v>
      </c>
      <c r="E96" s="11">
        <v>7</v>
      </c>
      <c r="F96" s="11" t="s">
        <v>359</v>
      </c>
      <c r="G96" s="11" t="s">
        <v>592</v>
      </c>
      <c r="H96" s="11" t="s">
        <v>155</v>
      </c>
      <c r="I96" s="11" t="s">
        <v>60</v>
      </c>
      <c r="J96" s="11" t="s">
        <v>59</v>
      </c>
      <c r="K96" s="11">
        <v>6</v>
      </c>
      <c r="L96" s="13" t="s">
        <v>593</v>
      </c>
      <c r="M96" s="13" t="s">
        <v>594</v>
      </c>
      <c r="N96" s="13" t="s">
        <v>595</v>
      </c>
      <c r="O96" s="12">
        <v>0.30909999999999999</v>
      </c>
      <c r="P96" s="11" t="s">
        <v>358</v>
      </c>
      <c r="Q96" s="11"/>
      <c r="R96" s="11" t="s">
        <v>301</v>
      </c>
      <c r="S96" s="11" t="s">
        <v>64</v>
      </c>
      <c r="T96" s="9"/>
      <c r="U96" s="9"/>
      <c r="V96" s="9"/>
      <c r="W96" s="9"/>
      <c r="X96" s="14"/>
      <c r="Y96" s="14"/>
      <c r="Z96" s="14"/>
      <c r="AA96" t="str">
        <f t="shared" si="2"/>
        <v>Pendiente</v>
      </c>
    </row>
    <row r="97" spans="1:27" ht="54" hidden="1">
      <c r="A97" s="11" t="s">
        <v>429</v>
      </c>
      <c r="B97" s="11" t="s">
        <v>596</v>
      </c>
      <c r="C97" s="11" t="s">
        <v>54</v>
      </c>
      <c r="D97" s="11" t="s">
        <v>55</v>
      </c>
      <c r="E97" s="11">
        <v>7</v>
      </c>
      <c r="F97" s="11" t="s">
        <v>161</v>
      </c>
      <c r="G97" s="11" t="s">
        <v>597</v>
      </c>
      <c r="H97" s="11" t="s">
        <v>155</v>
      </c>
      <c r="I97" s="11" t="s">
        <v>60</v>
      </c>
      <c r="J97" s="11" t="s">
        <v>59</v>
      </c>
      <c r="K97" s="11">
        <v>6</v>
      </c>
      <c r="L97" s="13" t="s">
        <v>598</v>
      </c>
      <c r="M97" s="13" t="s">
        <v>599</v>
      </c>
      <c r="N97" s="13" t="s">
        <v>600</v>
      </c>
      <c r="O97" s="12">
        <v>0.30840000000000001</v>
      </c>
      <c r="P97" s="11" t="s">
        <v>368</v>
      </c>
      <c r="Q97" s="11"/>
      <c r="R97" s="11" t="s">
        <v>301</v>
      </c>
      <c r="S97" s="11" t="s">
        <v>159</v>
      </c>
      <c r="T97" s="9"/>
      <c r="U97" s="9"/>
      <c r="V97" s="9"/>
      <c r="W97" s="9"/>
      <c r="X97" s="14"/>
      <c r="Y97" s="14"/>
      <c r="Z97" s="14"/>
      <c r="AA97" t="str">
        <f t="shared" si="2"/>
        <v>Pendiente</v>
      </c>
    </row>
    <row r="98" spans="1:27" ht="27" hidden="1">
      <c r="A98" s="11" t="s">
        <v>429</v>
      </c>
      <c r="B98" s="11" t="s">
        <v>329</v>
      </c>
      <c r="C98" s="11" t="s">
        <v>240</v>
      </c>
      <c r="D98" s="11" t="s">
        <v>241</v>
      </c>
      <c r="E98" s="11">
        <v>11</v>
      </c>
      <c r="F98" s="11" t="s">
        <v>324</v>
      </c>
      <c r="G98" s="11" t="s">
        <v>553</v>
      </c>
      <c r="H98" s="11" t="s">
        <v>197</v>
      </c>
      <c r="I98" s="11" t="s">
        <v>59</v>
      </c>
      <c r="J98" s="11" t="s">
        <v>59</v>
      </c>
      <c r="K98" s="11">
        <v>4</v>
      </c>
      <c r="L98" s="13" t="s">
        <v>601</v>
      </c>
      <c r="M98" s="13" t="s">
        <v>602</v>
      </c>
      <c r="N98" s="13" t="s">
        <v>603</v>
      </c>
      <c r="O98" s="12">
        <v>0.30080000000000001</v>
      </c>
      <c r="P98" s="11" t="s">
        <v>329</v>
      </c>
      <c r="Q98" s="11"/>
      <c r="R98" s="11" t="s">
        <v>301</v>
      </c>
      <c r="S98" s="11" t="s">
        <v>159</v>
      </c>
      <c r="T98" s="9"/>
      <c r="U98" s="9"/>
      <c r="V98" s="9"/>
      <c r="W98" s="9"/>
      <c r="X98" s="14"/>
      <c r="Y98" s="14"/>
      <c r="Z98" s="14"/>
      <c r="AA98" t="str">
        <f t="shared" ref="AA98:AA129" si="3">IF(T98="","Pendiente",IF(T98=1,"Válido","Falso positivo"))</f>
        <v>Pendiente</v>
      </c>
    </row>
    <row r="99" spans="1:27" ht="27" hidden="1">
      <c r="A99" s="11" t="s">
        <v>429</v>
      </c>
      <c r="B99" s="11" t="s">
        <v>604</v>
      </c>
      <c r="C99" s="11" t="s">
        <v>240</v>
      </c>
      <c r="D99" s="11" t="s">
        <v>241</v>
      </c>
      <c r="E99" s="11">
        <v>11</v>
      </c>
      <c r="F99" s="11" t="s">
        <v>324</v>
      </c>
      <c r="G99" s="11" t="s">
        <v>605</v>
      </c>
      <c r="H99" s="11" t="s">
        <v>58</v>
      </c>
      <c r="I99" s="11" t="s">
        <v>59</v>
      </c>
      <c r="J99" s="11" t="s">
        <v>59</v>
      </c>
      <c r="K99" s="11">
        <v>4</v>
      </c>
      <c r="L99" s="13" t="s">
        <v>606</v>
      </c>
      <c r="M99" s="13" t="s">
        <v>607</v>
      </c>
      <c r="N99" s="13" t="s">
        <v>608</v>
      </c>
      <c r="O99" s="12">
        <v>0.29659999999999997</v>
      </c>
      <c r="P99" s="11" t="s">
        <v>329</v>
      </c>
      <c r="Q99" s="11"/>
      <c r="R99" s="11" t="s">
        <v>301</v>
      </c>
      <c r="S99" s="11" t="s">
        <v>64</v>
      </c>
      <c r="T99" s="9"/>
      <c r="U99" s="9"/>
      <c r="V99" s="9"/>
      <c r="W99" s="9"/>
      <c r="X99" s="14"/>
      <c r="Y99" s="14"/>
      <c r="Z99" s="14"/>
      <c r="AA99" t="str">
        <f t="shared" si="3"/>
        <v>Pendiente</v>
      </c>
    </row>
    <row r="100" spans="1:27" ht="40.5" hidden="1">
      <c r="A100" s="11" t="s">
        <v>429</v>
      </c>
      <c r="B100" s="11" t="s">
        <v>609</v>
      </c>
      <c r="C100" s="11" t="s">
        <v>54</v>
      </c>
      <c r="D100" s="11" t="s">
        <v>55</v>
      </c>
      <c r="E100" s="11">
        <v>4</v>
      </c>
      <c r="F100" s="11" t="s">
        <v>105</v>
      </c>
      <c r="G100" s="11" t="s">
        <v>610</v>
      </c>
      <c r="H100" s="11" t="s">
        <v>197</v>
      </c>
      <c r="I100" s="11" t="s">
        <v>59</v>
      </c>
      <c r="J100" s="11" t="s">
        <v>59</v>
      </c>
      <c r="K100" s="11">
        <v>4</v>
      </c>
      <c r="L100" s="13" t="s">
        <v>611</v>
      </c>
      <c r="M100" s="13" t="s">
        <v>612</v>
      </c>
      <c r="N100" s="13" t="s">
        <v>613</v>
      </c>
      <c r="O100" s="12">
        <v>0.29509999999999997</v>
      </c>
      <c r="P100" s="11" t="s">
        <v>116</v>
      </c>
      <c r="Q100" s="11"/>
      <c r="R100" s="11" t="s">
        <v>301</v>
      </c>
      <c r="S100" s="11" t="s">
        <v>64</v>
      </c>
      <c r="T100" s="9"/>
      <c r="U100" s="9"/>
      <c r="V100" s="9"/>
      <c r="W100" s="9"/>
      <c r="X100" s="14"/>
      <c r="Y100" s="14"/>
      <c r="Z100" s="14"/>
      <c r="AA100" t="str">
        <f t="shared" si="3"/>
        <v>Pendiente</v>
      </c>
    </row>
    <row r="101" spans="1:27" ht="40.5" hidden="1">
      <c r="A101" s="11" t="s">
        <v>429</v>
      </c>
      <c r="B101" s="11" t="s">
        <v>614</v>
      </c>
      <c r="C101" s="11" t="s">
        <v>331</v>
      </c>
      <c r="D101" s="11" t="s">
        <v>332</v>
      </c>
      <c r="E101" s="11">
        <v>4</v>
      </c>
      <c r="F101" s="11" t="s">
        <v>340</v>
      </c>
      <c r="G101" s="11" t="s">
        <v>615</v>
      </c>
      <c r="H101" s="11" t="s">
        <v>155</v>
      </c>
      <c r="I101" s="11" t="s">
        <v>60</v>
      </c>
      <c r="J101" s="11" t="s">
        <v>59</v>
      </c>
      <c r="K101" s="11">
        <v>6</v>
      </c>
      <c r="L101" s="13" t="s">
        <v>616</v>
      </c>
      <c r="M101" s="13" t="s">
        <v>617</v>
      </c>
      <c r="N101" s="13" t="s">
        <v>618</v>
      </c>
      <c r="O101" s="12">
        <v>0.29049999999999998</v>
      </c>
      <c r="P101" s="11" t="s">
        <v>345</v>
      </c>
      <c r="Q101" s="11"/>
      <c r="R101" s="11" t="s">
        <v>301</v>
      </c>
      <c r="S101" s="11" t="s">
        <v>64</v>
      </c>
      <c r="T101" s="9"/>
      <c r="U101" s="9"/>
      <c r="V101" s="9"/>
      <c r="W101" s="9"/>
      <c r="X101" s="14"/>
      <c r="Y101" s="14"/>
      <c r="Z101" s="14"/>
      <c r="AA101" t="str">
        <f t="shared" si="3"/>
        <v>Pendiente</v>
      </c>
    </row>
    <row r="102" spans="1:27" ht="40.5" hidden="1">
      <c r="A102" s="11" t="s">
        <v>429</v>
      </c>
      <c r="B102" s="11" t="s">
        <v>368</v>
      </c>
      <c r="C102" s="11" t="s">
        <v>168</v>
      </c>
      <c r="D102" s="11" t="s">
        <v>169</v>
      </c>
      <c r="E102" s="11">
        <v>2</v>
      </c>
      <c r="F102" s="11" t="s">
        <v>170</v>
      </c>
      <c r="G102" s="11" t="s">
        <v>619</v>
      </c>
      <c r="H102" s="11" t="s">
        <v>58</v>
      </c>
      <c r="I102" s="11" t="s">
        <v>59</v>
      </c>
      <c r="J102" s="11" t="s">
        <v>59</v>
      </c>
      <c r="K102" s="11">
        <v>4</v>
      </c>
      <c r="L102" s="13" t="s">
        <v>620</v>
      </c>
      <c r="M102" s="13" t="s">
        <v>621</v>
      </c>
      <c r="N102" s="13" t="s">
        <v>622</v>
      </c>
      <c r="O102" s="12">
        <v>0.28270000000000001</v>
      </c>
      <c r="P102" s="11" t="s">
        <v>175</v>
      </c>
      <c r="Q102" s="11"/>
      <c r="R102" s="11" t="s">
        <v>301</v>
      </c>
      <c r="S102" s="11" t="s">
        <v>64</v>
      </c>
      <c r="T102" s="9"/>
      <c r="U102" s="9"/>
      <c r="V102" s="9"/>
      <c r="W102" s="9"/>
      <c r="X102" s="14"/>
      <c r="Y102" s="14"/>
      <c r="Z102" s="14"/>
      <c r="AA102" t="str">
        <f t="shared" si="3"/>
        <v>Pendiente</v>
      </c>
    </row>
    <row r="103" spans="1:27" ht="40.5" hidden="1">
      <c r="A103" s="11" t="s">
        <v>429</v>
      </c>
      <c r="B103" s="11" t="s">
        <v>623</v>
      </c>
      <c r="C103" s="11" t="s">
        <v>240</v>
      </c>
      <c r="D103" s="11" t="s">
        <v>241</v>
      </c>
      <c r="E103" s="11">
        <v>7</v>
      </c>
      <c r="F103" s="11" t="s">
        <v>287</v>
      </c>
      <c r="G103" s="11" t="s">
        <v>624</v>
      </c>
      <c r="H103" s="11" t="s">
        <v>58</v>
      </c>
      <c r="I103" s="11" t="s">
        <v>60</v>
      </c>
      <c r="J103" s="11" t="s">
        <v>59</v>
      </c>
      <c r="K103" s="11">
        <v>6</v>
      </c>
      <c r="L103" s="13" t="s">
        <v>625</v>
      </c>
      <c r="M103" s="13" t="s">
        <v>626</v>
      </c>
      <c r="N103" s="13" t="s">
        <v>627</v>
      </c>
      <c r="O103" s="12">
        <v>0.27660000000000001</v>
      </c>
      <c r="P103" s="11" t="s">
        <v>292</v>
      </c>
      <c r="Q103" s="11"/>
      <c r="R103" s="11" t="s">
        <v>301</v>
      </c>
      <c r="S103" s="11" t="s">
        <v>159</v>
      </c>
      <c r="T103" s="9"/>
      <c r="U103" s="9"/>
      <c r="V103" s="9"/>
      <c r="W103" s="9"/>
      <c r="X103" s="14"/>
      <c r="Y103" s="14"/>
      <c r="Z103" s="14"/>
      <c r="AA103" t="str">
        <f t="shared" si="3"/>
        <v>Pendiente</v>
      </c>
    </row>
    <row r="104" spans="1:27" ht="40.5" hidden="1">
      <c r="A104" s="11" t="s">
        <v>429</v>
      </c>
      <c r="B104" s="11" t="s">
        <v>628</v>
      </c>
      <c r="C104" s="11" t="s">
        <v>168</v>
      </c>
      <c r="D104" s="11" t="s">
        <v>169</v>
      </c>
      <c r="E104" s="11">
        <v>5</v>
      </c>
      <c r="F104" s="11" t="s">
        <v>203</v>
      </c>
      <c r="G104" s="11" t="s">
        <v>629</v>
      </c>
      <c r="H104" s="11" t="s">
        <v>118</v>
      </c>
      <c r="I104" s="11" t="s">
        <v>59</v>
      </c>
      <c r="J104" s="11" t="s">
        <v>59</v>
      </c>
      <c r="K104" s="11">
        <v>4</v>
      </c>
      <c r="L104" s="13" t="s">
        <v>630</v>
      </c>
      <c r="M104" s="13" t="s">
        <v>631</v>
      </c>
      <c r="N104" s="13" t="s">
        <v>632</v>
      </c>
      <c r="O104" s="12">
        <v>0.27579999999999999</v>
      </c>
      <c r="P104" s="11" t="s">
        <v>202</v>
      </c>
      <c r="Q104" s="11"/>
      <c r="R104" s="11" t="s">
        <v>301</v>
      </c>
      <c r="S104" s="11" t="s">
        <v>64</v>
      </c>
      <c r="T104" s="9"/>
      <c r="U104" s="9"/>
      <c r="V104" s="9"/>
      <c r="W104" s="9"/>
      <c r="X104" s="14"/>
      <c r="Y104" s="14"/>
      <c r="Z104" s="14"/>
      <c r="AA104" t="str">
        <f t="shared" si="3"/>
        <v>Pendiente</v>
      </c>
    </row>
    <row r="105" spans="1:27" ht="27" hidden="1">
      <c r="A105" s="11" t="s">
        <v>429</v>
      </c>
      <c r="B105" s="11" t="s">
        <v>345</v>
      </c>
      <c r="C105" s="11" t="s">
        <v>331</v>
      </c>
      <c r="D105" s="11" t="s">
        <v>332</v>
      </c>
      <c r="E105" s="11">
        <v>4</v>
      </c>
      <c r="F105" s="11" t="s">
        <v>340</v>
      </c>
      <c r="G105" s="11" t="s">
        <v>633</v>
      </c>
      <c r="H105" s="11" t="s">
        <v>197</v>
      </c>
      <c r="I105" s="11" t="s">
        <v>60</v>
      </c>
      <c r="J105" s="11" t="s">
        <v>59</v>
      </c>
      <c r="K105" s="11">
        <v>6</v>
      </c>
      <c r="L105" s="13" t="s">
        <v>634</v>
      </c>
      <c r="M105" s="13" t="s">
        <v>635</v>
      </c>
      <c r="N105" s="13" t="s">
        <v>636</v>
      </c>
      <c r="O105" s="12">
        <v>0.26569999999999999</v>
      </c>
      <c r="P105" s="11" t="s">
        <v>345</v>
      </c>
      <c r="Q105" s="11"/>
      <c r="R105" s="11" t="s">
        <v>301</v>
      </c>
      <c r="S105" s="11" t="s">
        <v>64</v>
      </c>
      <c r="T105" s="9"/>
      <c r="U105" s="9"/>
      <c r="V105" s="9"/>
      <c r="W105" s="9"/>
      <c r="X105" s="14"/>
      <c r="Y105" s="14"/>
      <c r="Z105" s="14"/>
      <c r="AA105" t="str">
        <f t="shared" si="3"/>
        <v>Pendiente</v>
      </c>
    </row>
    <row r="106" spans="1:27" ht="40.5" hidden="1">
      <c r="A106" s="11" t="s">
        <v>429</v>
      </c>
      <c r="B106" s="11" t="s">
        <v>285</v>
      </c>
      <c r="C106" s="11" t="s">
        <v>240</v>
      </c>
      <c r="D106" s="11" t="s">
        <v>241</v>
      </c>
      <c r="E106" s="11">
        <v>6</v>
      </c>
      <c r="F106" s="11" t="s">
        <v>280</v>
      </c>
      <c r="G106" s="11" t="s">
        <v>637</v>
      </c>
      <c r="H106" s="11" t="s">
        <v>58</v>
      </c>
      <c r="I106" s="11" t="s">
        <v>60</v>
      </c>
      <c r="J106" s="11" t="s">
        <v>59</v>
      </c>
      <c r="K106" s="11">
        <v>6</v>
      </c>
      <c r="L106" s="13" t="s">
        <v>638</v>
      </c>
      <c r="M106" s="13" t="s">
        <v>639</v>
      </c>
      <c r="N106" s="13" t="s">
        <v>640</v>
      </c>
      <c r="O106" s="12">
        <v>0.26429999999999998</v>
      </c>
      <c r="P106" s="11" t="s">
        <v>285</v>
      </c>
      <c r="Q106" s="11"/>
      <c r="R106" s="11" t="s">
        <v>301</v>
      </c>
      <c r="S106" s="11" t="s">
        <v>267</v>
      </c>
      <c r="T106" s="9"/>
      <c r="U106" s="9"/>
      <c r="V106" s="9"/>
      <c r="W106" s="9"/>
      <c r="X106" s="14"/>
      <c r="Y106" s="14"/>
      <c r="Z106" s="14"/>
      <c r="AA106" t="str">
        <f t="shared" si="3"/>
        <v>Pendiente</v>
      </c>
    </row>
    <row r="107" spans="1:27" ht="27" hidden="1">
      <c r="A107" s="11" t="s">
        <v>429</v>
      </c>
      <c r="B107" s="11" t="s">
        <v>231</v>
      </c>
      <c r="C107" s="11" t="s">
        <v>168</v>
      </c>
      <c r="D107" s="11" t="s">
        <v>169</v>
      </c>
      <c r="E107" s="11">
        <v>8</v>
      </c>
      <c r="F107" s="11" t="s">
        <v>226</v>
      </c>
      <c r="G107" s="11" t="s">
        <v>641</v>
      </c>
      <c r="H107" s="11" t="s">
        <v>155</v>
      </c>
      <c r="I107" s="11" t="s">
        <v>59</v>
      </c>
      <c r="J107" s="11" t="s">
        <v>60</v>
      </c>
      <c r="K107" s="11">
        <v>6</v>
      </c>
      <c r="L107" s="13" t="s">
        <v>642</v>
      </c>
      <c r="M107" s="13" t="s">
        <v>643</v>
      </c>
      <c r="N107" s="13" t="s">
        <v>644</v>
      </c>
      <c r="O107" s="12">
        <v>0.25019999999999998</v>
      </c>
      <c r="P107" s="11" t="s">
        <v>231</v>
      </c>
      <c r="Q107" s="11"/>
      <c r="R107" s="11" t="s">
        <v>301</v>
      </c>
      <c r="S107" s="11" t="s">
        <v>64</v>
      </c>
      <c r="T107" s="9"/>
      <c r="U107" s="9"/>
      <c r="V107" s="9"/>
      <c r="W107" s="9"/>
      <c r="X107" s="14"/>
      <c r="Y107" s="14"/>
      <c r="Z107" s="14"/>
      <c r="AA107" t="str">
        <f t="shared" si="3"/>
        <v>Pendiente</v>
      </c>
    </row>
    <row r="108" spans="1:27" ht="40.5" hidden="1">
      <c r="A108" s="11" t="s">
        <v>429</v>
      </c>
      <c r="B108" s="11" t="s">
        <v>645</v>
      </c>
      <c r="C108" s="11" t="s">
        <v>331</v>
      </c>
      <c r="D108" s="11" t="s">
        <v>332</v>
      </c>
      <c r="E108" s="11">
        <v>4</v>
      </c>
      <c r="F108" s="11" t="s">
        <v>340</v>
      </c>
      <c r="G108" s="11" t="s">
        <v>646</v>
      </c>
      <c r="H108" s="11" t="s">
        <v>89</v>
      </c>
      <c r="I108" s="11" t="s">
        <v>60</v>
      </c>
      <c r="J108" s="11" t="s">
        <v>59</v>
      </c>
      <c r="K108" s="11">
        <v>6</v>
      </c>
      <c r="L108" s="13" t="s">
        <v>647</v>
      </c>
      <c r="M108" s="13" t="s">
        <v>648</v>
      </c>
      <c r="N108" s="13" t="s">
        <v>649</v>
      </c>
      <c r="O108" s="12">
        <v>0.24060000000000001</v>
      </c>
      <c r="P108" s="11" t="s">
        <v>345</v>
      </c>
      <c r="Q108" s="11"/>
      <c r="R108" s="11" t="s">
        <v>301</v>
      </c>
      <c r="S108" s="11" t="s">
        <v>64</v>
      </c>
      <c r="T108" s="9"/>
      <c r="U108" s="9"/>
      <c r="V108" s="9"/>
      <c r="W108" s="9"/>
      <c r="X108" s="14"/>
      <c r="Y108" s="14"/>
      <c r="Z108" s="14"/>
      <c r="AA108" t="str">
        <f t="shared" si="3"/>
        <v>Pendiente</v>
      </c>
    </row>
    <row r="109" spans="1:27" ht="27" hidden="1">
      <c r="A109" s="11" t="s">
        <v>429</v>
      </c>
      <c r="B109" s="11" t="s">
        <v>650</v>
      </c>
      <c r="C109" s="11" t="s">
        <v>168</v>
      </c>
      <c r="D109" s="11" t="s">
        <v>169</v>
      </c>
      <c r="E109" s="11">
        <v>5</v>
      </c>
      <c r="F109" s="11" t="s">
        <v>203</v>
      </c>
      <c r="G109" s="11" t="s">
        <v>196</v>
      </c>
      <c r="H109" s="11" t="s">
        <v>197</v>
      </c>
      <c r="I109" s="11" t="s">
        <v>60</v>
      </c>
      <c r="J109" s="11" t="s">
        <v>59</v>
      </c>
      <c r="K109" s="11">
        <v>6</v>
      </c>
      <c r="L109" s="13" t="s">
        <v>651</v>
      </c>
      <c r="M109" s="13" t="s">
        <v>652</v>
      </c>
      <c r="N109" s="13" t="s">
        <v>653</v>
      </c>
      <c r="O109" s="12">
        <v>0.2361</v>
      </c>
      <c r="P109" s="11" t="s">
        <v>202</v>
      </c>
      <c r="Q109" s="11"/>
      <c r="R109" s="11" t="s">
        <v>301</v>
      </c>
      <c r="S109" s="11" t="s">
        <v>159</v>
      </c>
      <c r="T109" s="9"/>
      <c r="U109" s="9"/>
      <c r="V109" s="9"/>
      <c r="W109" s="9"/>
      <c r="X109" s="14"/>
      <c r="Y109" s="14"/>
      <c r="Z109" s="14"/>
      <c r="AA109" t="str">
        <f t="shared" si="3"/>
        <v>Pendiente</v>
      </c>
    </row>
    <row r="110" spans="1:27" ht="27" hidden="1">
      <c r="A110" s="11" t="s">
        <v>429</v>
      </c>
      <c r="B110" s="11" t="s">
        <v>654</v>
      </c>
      <c r="C110" s="11" t="s">
        <v>240</v>
      </c>
      <c r="D110" s="11" t="s">
        <v>241</v>
      </c>
      <c r="E110" s="11">
        <v>2</v>
      </c>
      <c r="F110" s="11" t="s">
        <v>242</v>
      </c>
      <c r="G110" s="11" t="s">
        <v>57</v>
      </c>
      <c r="H110" s="11" t="s">
        <v>58</v>
      </c>
      <c r="I110" s="11" t="s">
        <v>59</v>
      </c>
      <c r="J110" s="11" t="s">
        <v>59</v>
      </c>
      <c r="K110" s="11">
        <v>4</v>
      </c>
      <c r="L110" s="13" t="s">
        <v>655</v>
      </c>
      <c r="M110" s="13" t="s">
        <v>656</v>
      </c>
      <c r="N110" s="13" t="s">
        <v>657</v>
      </c>
      <c r="O110" s="12">
        <v>0.23119999999999999</v>
      </c>
      <c r="P110" s="11" t="s">
        <v>247</v>
      </c>
      <c r="Q110" s="11"/>
      <c r="R110" s="11" t="s">
        <v>301</v>
      </c>
      <c r="S110" s="11" t="s">
        <v>64</v>
      </c>
      <c r="T110" s="9"/>
      <c r="U110" s="9"/>
      <c r="V110" s="9"/>
      <c r="W110" s="9"/>
      <c r="X110" s="14"/>
      <c r="Y110" s="14"/>
      <c r="Z110" s="14"/>
      <c r="AA110" t="str">
        <f t="shared" si="3"/>
        <v>Pendiente</v>
      </c>
    </row>
    <row r="111" spans="1:27" ht="40.5" hidden="1">
      <c r="A111" s="11" t="s">
        <v>429</v>
      </c>
      <c r="B111" s="11" t="s">
        <v>658</v>
      </c>
      <c r="C111" s="11" t="s">
        <v>240</v>
      </c>
      <c r="D111" s="11" t="s">
        <v>241</v>
      </c>
      <c r="E111" s="11">
        <v>3</v>
      </c>
      <c r="F111" s="11" t="s">
        <v>249</v>
      </c>
      <c r="G111" s="11" t="s">
        <v>659</v>
      </c>
      <c r="H111" s="11" t="s">
        <v>118</v>
      </c>
      <c r="I111" s="11" t="s">
        <v>59</v>
      </c>
      <c r="J111" s="11" t="s">
        <v>59</v>
      </c>
      <c r="K111" s="11">
        <v>4</v>
      </c>
      <c r="L111" s="13" t="s">
        <v>660</v>
      </c>
      <c r="M111" s="13" t="s">
        <v>661</v>
      </c>
      <c r="N111" s="13" t="s">
        <v>662</v>
      </c>
      <c r="O111" s="12">
        <v>0.22700000000000001</v>
      </c>
      <c r="P111" s="11" t="s">
        <v>254</v>
      </c>
      <c r="Q111" s="11"/>
      <c r="R111" s="11" t="s">
        <v>301</v>
      </c>
      <c r="S111" s="11" t="s">
        <v>64</v>
      </c>
      <c r="T111" s="9"/>
      <c r="U111" s="9"/>
      <c r="V111" s="9"/>
      <c r="W111" s="9"/>
      <c r="X111" s="14"/>
      <c r="Y111" s="14"/>
      <c r="Z111" s="14"/>
      <c r="AA111" t="str">
        <f t="shared" si="3"/>
        <v>Pendiente</v>
      </c>
    </row>
    <row r="112" spans="1:27" ht="27" hidden="1">
      <c r="A112" s="11" t="s">
        <v>429</v>
      </c>
      <c r="B112" s="11" t="s">
        <v>663</v>
      </c>
      <c r="C112" s="11" t="s">
        <v>54</v>
      </c>
      <c r="D112" s="11" t="s">
        <v>55</v>
      </c>
      <c r="E112" s="11">
        <v>4</v>
      </c>
      <c r="F112" s="11" t="s">
        <v>387</v>
      </c>
      <c r="G112" s="11" t="s">
        <v>664</v>
      </c>
      <c r="H112" s="11" t="s">
        <v>118</v>
      </c>
      <c r="I112" s="11" t="s">
        <v>59</v>
      </c>
      <c r="J112" s="11" t="s">
        <v>60</v>
      </c>
      <c r="K112" s="11">
        <v>6</v>
      </c>
      <c r="L112" s="13" t="s">
        <v>665</v>
      </c>
      <c r="M112" s="13" t="s">
        <v>666</v>
      </c>
      <c r="N112" s="13" t="s">
        <v>667</v>
      </c>
      <c r="O112" s="12">
        <v>0.20519999999999999</v>
      </c>
      <c r="P112" s="11" t="s">
        <v>386</v>
      </c>
      <c r="Q112" s="11"/>
      <c r="R112" s="11" t="s">
        <v>301</v>
      </c>
      <c r="S112" s="11" t="s">
        <v>64</v>
      </c>
      <c r="T112" s="9"/>
      <c r="U112" s="9"/>
      <c r="V112" s="9"/>
      <c r="W112" s="9"/>
      <c r="X112" s="14"/>
      <c r="Y112" s="14"/>
      <c r="Z112" s="14"/>
      <c r="AA112" t="str">
        <f t="shared" si="3"/>
        <v>Pendiente</v>
      </c>
    </row>
    <row r="113" spans="1:27" ht="40.5" hidden="1">
      <c r="A113" s="11" t="s">
        <v>429</v>
      </c>
      <c r="B113" s="11" t="s">
        <v>247</v>
      </c>
      <c r="C113" s="11" t="s">
        <v>240</v>
      </c>
      <c r="D113" s="11" t="s">
        <v>241</v>
      </c>
      <c r="E113" s="11">
        <v>2</v>
      </c>
      <c r="F113" s="11" t="s">
        <v>242</v>
      </c>
      <c r="G113" s="11" t="s">
        <v>668</v>
      </c>
      <c r="H113" s="11" t="s">
        <v>155</v>
      </c>
      <c r="I113" s="11" t="s">
        <v>59</v>
      </c>
      <c r="J113" s="11" t="s">
        <v>59</v>
      </c>
      <c r="K113" s="11">
        <v>4</v>
      </c>
      <c r="L113" s="13" t="s">
        <v>669</v>
      </c>
      <c r="M113" s="13" t="s">
        <v>670</v>
      </c>
      <c r="N113" s="13" t="s">
        <v>671</v>
      </c>
      <c r="O113" s="12">
        <v>0.2049</v>
      </c>
      <c r="P113" s="11" t="s">
        <v>247</v>
      </c>
      <c r="Q113" s="11"/>
      <c r="R113" s="11" t="s">
        <v>301</v>
      </c>
      <c r="S113" s="11" t="s">
        <v>159</v>
      </c>
      <c r="T113" s="9"/>
      <c r="U113" s="9"/>
      <c r="V113" s="9"/>
      <c r="W113" s="9"/>
      <c r="X113" s="14"/>
      <c r="Y113" s="14"/>
      <c r="Z113" s="14"/>
      <c r="AA113" t="str">
        <f t="shared" si="3"/>
        <v>Pendiente</v>
      </c>
    </row>
    <row r="114" spans="1:27" ht="27" hidden="1">
      <c r="A114" s="11" t="s">
        <v>429</v>
      </c>
      <c r="B114" s="11" t="s">
        <v>423</v>
      </c>
      <c r="C114" s="11" t="s">
        <v>54</v>
      </c>
      <c r="D114" s="11" t="s">
        <v>55</v>
      </c>
      <c r="E114" s="11">
        <v>2</v>
      </c>
      <c r="F114" s="11" t="s">
        <v>418</v>
      </c>
      <c r="G114" s="11" t="s">
        <v>672</v>
      </c>
      <c r="H114" s="11" t="s">
        <v>155</v>
      </c>
      <c r="I114" s="11" t="s">
        <v>59</v>
      </c>
      <c r="J114" s="11" t="s">
        <v>59</v>
      </c>
      <c r="K114" s="11">
        <v>4</v>
      </c>
      <c r="L114" s="13" t="s">
        <v>673</v>
      </c>
      <c r="M114" s="13" t="s">
        <v>674</v>
      </c>
      <c r="N114" s="13" t="s">
        <v>675</v>
      </c>
      <c r="O114" s="12">
        <v>0.19220000000000001</v>
      </c>
      <c r="P114" s="11" t="s">
        <v>423</v>
      </c>
      <c r="Q114" s="11"/>
      <c r="R114" s="11" t="s">
        <v>301</v>
      </c>
      <c r="S114" s="11" t="s">
        <v>64</v>
      </c>
      <c r="T114" s="9"/>
      <c r="U114" s="9"/>
      <c r="V114" s="9"/>
      <c r="W114" s="9"/>
      <c r="X114" s="14"/>
      <c r="Y114" s="14"/>
      <c r="Z114" s="14"/>
      <c r="AA114" t="str">
        <f t="shared" si="3"/>
        <v>Pendiente</v>
      </c>
    </row>
    <row r="115" spans="1:27" ht="40.5" hidden="1">
      <c r="A115" s="11" t="s">
        <v>429</v>
      </c>
      <c r="B115" s="11" t="s">
        <v>175</v>
      </c>
      <c r="C115" s="11" t="s">
        <v>168</v>
      </c>
      <c r="D115" s="11" t="s">
        <v>169</v>
      </c>
      <c r="E115" s="11">
        <v>2</v>
      </c>
      <c r="F115" s="11" t="s">
        <v>676</v>
      </c>
      <c r="G115" s="11" t="s">
        <v>210</v>
      </c>
      <c r="H115" s="11" t="s">
        <v>58</v>
      </c>
      <c r="I115" s="11" t="s">
        <v>59</v>
      </c>
      <c r="J115" s="11" t="s">
        <v>59</v>
      </c>
      <c r="K115" s="11">
        <v>4</v>
      </c>
      <c r="L115" s="13" t="s">
        <v>677</v>
      </c>
      <c r="M115" s="13" t="s">
        <v>678</v>
      </c>
      <c r="N115" s="13" t="s">
        <v>679</v>
      </c>
      <c r="O115" s="12">
        <v>0</v>
      </c>
      <c r="P115" s="11"/>
      <c r="Q115" s="11"/>
      <c r="R115" s="11" t="s">
        <v>301</v>
      </c>
      <c r="S115" s="11" t="s">
        <v>64</v>
      </c>
      <c r="T115" s="9"/>
      <c r="U115" s="9"/>
      <c r="V115" s="9"/>
      <c r="W115" s="9"/>
      <c r="X115" s="14"/>
      <c r="Y115" s="14"/>
      <c r="Z115" s="14"/>
      <c r="AA115" t="str">
        <f t="shared" si="3"/>
        <v>Pendiente</v>
      </c>
    </row>
    <row r="116" spans="1:27" ht="40.5" hidden="1">
      <c r="A116" s="11" t="s">
        <v>429</v>
      </c>
      <c r="B116" s="11" t="s">
        <v>680</v>
      </c>
      <c r="C116" s="11" t="s">
        <v>168</v>
      </c>
      <c r="D116" s="11" t="s">
        <v>169</v>
      </c>
      <c r="E116" s="11">
        <v>2</v>
      </c>
      <c r="F116" s="11" t="s">
        <v>676</v>
      </c>
      <c r="G116" s="11" t="s">
        <v>681</v>
      </c>
      <c r="H116" s="11" t="s">
        <v>112</v>
      </c>
      <c r="I116" s="11" t="s">
        <v>60</v>
      </c>
      <c r="J116" s="11" t="s">
        <v>59</v>
      </c>
      <c r="K116" s="11">
        <v>6</v>
      </c>
      <c r="L116" s="13" t="s">
        <v>682</v>
      </c>
      <c r="M116" s="13" t="s">
        <v>683</v>
      </c>
      <c r="N116" s="13" t="s">
        <v>684</v>
      </c>
      <c r="O116" s="12">
        <v>0</v>
      </c>
      <c r="P116" s="11"/>
      <c r="Q116" s="11"/>
      <c r="R116" s="11" t="s">
        <v>301</v>
      </c>
      <c r="S116" s="11" t="s">
        <v>159</v>
      </c>
      <c r="T116" s="9"/>
      <c r="U116" s="9"/>
      <c r="V116" s="9"/>
      <c r="W116" s="9"/>
      <c r="X116" s="14"/>
      <c r="Y116" s="14"/>
      <c r="Z116" s="14"/>
      <c r="AA116" t="str">
        <f t="shared" si="3"/>
        <v>Pendiente</v>
      </c>
    </row>
    <row r="117" spans="1:27" ht="27" hidden="1">
      <c r="A117" s="11" t="s">
        <v>429</v>
      </c>
      <c r="B117" s="11" t="s">
        <v>685</v>
      </c>
      <c r="C117" s="11" t="s">
        <v>168</v>
      </c>
      <c r="D117" s="11" t="s">
        <v>169</v>
      </c>
      <c r="E117" s="11">
        <v>2</v>
      </c>
      <c r="F117" s="11" t="s">
        <v>676</v>
      </c>
      <c r="G117" s="11" t="s">
        <v>686</v>
      </c>
      <c r="H117" s="11" t="s">
        <v>118</v>
      </c>
      <c r="I117" s="11" t="s">
        <v>59</v>
      </c>
      <c r="J117" s="11" t="s">
        <v>59</v>
      </c>
      <c r="K117" s="11">
        <v>4</v>
      </c>
      <c r="L117" s="13" t="s">
        <v>687</v>
      </c>
      <c r="M117" s="13" t="s">
        <v>688</v>
      </c>
      <c r="N117" s="13" t="s">
        <v>689</v>
      </c>
      <c r="O117" s="12">
        <v>0</v>
      </c>
      <c r="P117" s="11"/>
      <c r="Q117" s="11"/>
      <c r="R117" s="11" t="s">
        <v>301</v>
      </c>
      <c r="S117" s="11" t="s">
        <v>64</v>
      </c>
      <c r="T117" s="9"/>
      <c r="U117" s="9"/>
      <c r="V117" s="9"/>
      <c r="W117" s="9"/>
      <c r="X117" s="14"/>
      <c r="Y117" s="14"/>
      <c r="Z117" s="14"/>
      <c r="AA117" t="str">
        <f t="shared" si="3"/>
        <v>Pendiente</v>
      </c>
    </row>
    <row r="118" spans="1:27" ht="27" hidden="1">
      <c r="A118" s="11" t="s">
        <v>429</v>
      </c>
      <c r="B118" s="11" t="s">
        <v>690</v>
      </c>
      <c r="C118" s="11" t="s">
        <v>168</v>
      </c>
      <c r="D118" s="11" t="s">
        <v>169</v>
      </c>
      <c r="E118" s="11">
        <v>3</v>
      </c>
      <c r="F118" s="11" t="s">
        <v>691</v>
      </c>
      <c r="G118" s="11" t="s">
        <v>692</v>
      </c>
      <c r="H118" s="11" t="s">
        <v>58</v>
      </c>
      <c r="I118" s="11" t="s">
        <v>59</v>
      </c>
      <c r="J118" s="11" t="s">
        <v>60</v>
      </c>
      <c r="K118" s="11">
        <v>6</v>
      </c>
      <c r="L118" s="13" t="s">
        <v>693</v>
      </c>
      <c r="M118" s="13" t="s">
        <v>694</v>
      </c>
      <c r="N118" s="13" t="s">
        <v>695</v>
      </c>
      <c r="O118" s="12">
        <v>0</v>
      </c>
      <c r="P118" s="11"/>
      <c r="Q118" s="11"/>
      <c r="R118" s="11" t="s">
        <v>301</v>
      </c>
      <c r="S118" s="11" t="s">
        <v>159</v>
      </c>
      <c r="T118" s="9"/>
      <c r="U118" s="9"/>
      <c r="V118" s="9"/>
      <c r="W118" s="9"/>
      <c r="X118" s="14"/>
      <c r="Y118" s="14"/>
      <c r="Z118" s="14"/>
      <c r="AA118" t="str">
        <f t="shared" si="3"/>
        <v>Pendiente</v>
      </c>
    </row>
    <row r="119" spans="1:27" ht="27" hidden="1">
      <c r="A119" s="11" t="s">
        <v>429</v>
      </c>
      <c r="B119" s="11" t="s">
        <v>696</v>
      </c>
      <c r="C119" s="11" t="s">
        <v>168</v>
      </c>
      <c r="D119" s="11" t="s">
        <v>169</v>
      </c>
      <c r="E119" s="11">
        <v>3</v>
      </c>
      <c r="F119" s="11" t="s">
        <v>691</v>
      </c>
      <c r="G119" s="11" t="s">
        <v>697</v>
      </c>
      <c r="H119" s="11" t="s">
        <v>155</v>
      </c>
      <c r="I119" s="11" t="s">
        <v>59</v>
      </c>
      <c r="J119" s="11" t="s">
        <v>59</v>
      </c>
      <c r="K119" s="11">
        <v>4</v>
      </c>
      <c r="L119" s="13" t="s">
        <v>698</v>
      </c>
      <c r="M119" s="13" t="s">
        <v>699</v>
      </c>
      <c r="N119" s="13" t="s">
        <v>700</v>
      </c>
      <c r="O119" s="12">
        <v>0</v>
      </c>
      <c r="P119" s="11"/>
      <c r="Q119" s="11"/>
      <c r="R119" s="11" t="s">
        <v>301</v>
      </c>
      <c r="S119" s="11" t="s">
        <v>64</v>
      </c>
      <c r="T119" s="9"/>
      <c r="U119" s="9"/>
      <c r="V119" s="9"/>
      <c r="W119" s="9"/>
      <c r="X119" s="14"/>
      <c r="Y119" s="14"/>
      <c r="Z119" s="14"/>
      <c r="AA119" t="str">
        <f t="shared" si="3"/>
        <v>Pendiente</v>
      </c>
    </row>
    <row r="120" spans="1:27" ht="27" hidden="1">
      <c r="A120" s="11" t="s">
        <v>429</v>
      </c>
      <c r="B120" s="11" t="s">
        <v>701</v>
      </c>
      <c r="C120" s="11" t="s">
        <v>168</v>
      </c>
      <c r="D120" s="11" t="s">
        <v>169</v>
      </c>
      <c r="E120" s="11">
        <v>3</v>
      </c>
      <c r="F120" s="11" t="s">
        <v>702</v>
      </c>
      <c r="G120" s="11" t="s">
        <v>703</v>
      </c>
      <c r="H120" s="11" t="s">
        <v>58</v>
      </c>
      <c r="I120" s="11" t="s">
        <v>59</v>
      </c>
      <c r="J120" s="11" t="s">
        <v>59</v>
      </c>
      <c r="K120" s="11">
        <v>4</v>
      </c>
      <c r="L120" s="13" t="s">
        <v>704</v>
      </c>
      <c r="M120" s="13" t="s">
        <v>699</v>
      </c>
      <c r="N120" s="13" t="s">
        <v>705</v>
      </c>
      <c r="O120" s="12">
        <v>0</v>
      </c>
      <c r="P120" s="11"/>
      <c r="Q120" s="11"/>
      <c r="R120" s="11" t="s">
        <v>301</v>
      </c>
      <c r="S120" s="11" t="s">
        <v>64</v>
      </c>
      <c r="T120" s="9"/>
      <c r="U120" s="9"/>
      <c r="V120" s="9"/>
      <c r="W120" s="9"/>
      <c r="X120" s="14"/>
      <c r="Y120" s="14"/>
      <c r="Z120" s="14"/>
      <c r="AA120" t="str">
        <f t="shared" si="3"/>
        <v>Pendiente</v>
      </c>
    </row>
    <row r="121" spans="1:27" ht="40.5" hidden="1">
      <c r="A121" s="11" t="s">
        <v>429</v>
      </c>
      <c r="B121" s="11" t="s">
        <v>706</v>
      </c>
      <c r="C121" s="11" t="s">
        <v>168</v>
      </c>
      <c r="D121" s="11" t="s">
        <v>169</v>
      </c>
      <c r="E121" s="11">
        <v>3</v>
      </c>
      <c r="F121" s="11" t="s">
        <v>702</v>
      </c>
      <c r="G121" s="11" t="s">
        <v>707</v>
      </c>
      <c r="H121" s="11" t="s">
        <v>155</v>
      </c>
      <c r="I121" s="11" t="s">
        <v>60</v>
      </c>
      <c r="J121" s="11" t="s">
        <v>59</v>
      </c>
      <c r="K121" s="11">
        <v>6</v>
      </c>
      <c r="L121" s="13" t="s">
        <v>708</v>
      </c>
      <c r="M121" s="13" t="s">
        <v>709</v>
      </c>
      <c r="N121" s="13" t="s">
        <v>710</v>
      </c>
      <c r="O121" s="12">
        <v>0</v>
      </c>
      <c r="P121" s="11"/>
      <c r="Q121" s="11"/>
      <c r="R121" s="11" t="s">
        <v>301</v>
      </c>
      <c r="S121" s="11" t="s">
        <v>64</v>
      </c>
      <c r="T121" s="9"/>
      <c r="U121" s="9"/>
      <c r="V121" s="9"/>
      <c r="W121" s="9"/>
      <c r="X121" s="14"/>
      <c r="Y121" s="14"/>
      <c r="Z121" s="14"/>
      <c r="AA121" t="str">
        <f t="shared" si="3"/>
        <v>Pendiente</v>
      </c>
    </row>
    <row r="122" spans="1:27" ht="40.5" hidden="1">
      <c r="A122" s="11" t="s">
        <v>429</v>
      </c>
      <c r="B122" s="11" t="s">
        <v>711</v>
      </c>
      <c r="C122" s="11" t="s">
        <v>168</v>
      </c>
      <c r="D122" s="11" t="s">
        <v>169</v>
      </c>
      <c r="E122" s="11">
        <v>5</v>
      </c>
      <c r="F122" s="11" t="s">
        <v>712</v>
      </c>
      <c r="G122" s="11" t="s">
        <v>713</v>
      </c>
      <c r="H122" s="11" t="s">
        <v>58</v>
      </c>
      <c r="I122" s="11" t="s">
        <v>59</v>
      </c>
      <c r="J122" s="11" t="s">
        <v>60</v>
      </c>
      <c r="K122" s="11">
        <v>6</v>
      </c>
      <c r="L122" s="13" t="s">
        <v>714</v>
      </c>
      <c r="M122" s="13" t="s">
        <v>715</v>
      </c>
      <c r="N122" s="13" t="s">
        <v>716</v>
      </c>
      <c r="O122" s="12">
        <v>0</v>
      </c>
      <c r="P122" s="11"/>
      <c r="Q122" s="11"/>
      <c r="R122" s="11" t="s">
        <v>301</v>
      </c>
      <c r="S122" s="11" t="s">
        <v>64</v>
      </c>
      <c r="T122" s="9"/>
      <c r="U122" s="9"/>
      <c r="V122" s="9"/>
      <c r="W122" s="9"/>
      <c r="X122" s="14"/>
      <c r="Y122" s="14"/>
      <c r="Z122" s="14"/>
      <c r="AA122" t="str">
        <f t="shared" si="3"/>
        <v>Pendiente</v>
      </c>
    </row>
    <row r="123" spans="1:27" ht="27" hidden="1">
      <c r="A123" s="11" t="s">
        <v>429</v>
      </c>
      <c r="B123" s="11" t="s">
        <v>717</v>
      </c>
      <c r="C123" s="11" t="s">
        <v>168</v>
      </c>
      <c r="D123" s="11" t="s">
        <v>169</v>
      </c>
      <c r="E123" s="11">
        <v>5</v>
      </c>
      <c r="F123" s="11" t="s">
        <v>712</v>
      </c>
      <c r="G123" s="11" t="s">
        <v>718</v>
      </c>
      <c r="H123" s="11" t="s">
        <v>155</v>
      </c>
      <c r="I123" s="11" t="s">
        <v>59</v>
      </c>
      <c r="J123" s="11" t="s">
        <v>59</v>
      </c>
      <c r="K123" s="11">
        <v>4</v>
      </c>
      <c r="L123" s="13" t="s">
        <v>719</v>
      </c>
      <c r="M123" s="13" t="s">
        <v>720</v>
      </c>
      <c r="N123" s="13" t="s">
        <v>721</v>
      </c>
      <c r="O123" s="12">
        <v>0</v>
      </c>
      <c r="P123" s="11"/>
      <c r="Q123" s="11"/>
      <c r="R123" s="11" t="s">
        <v>301</v>
      </c>
      <c r="S123" s="11" t="s">
        <v>159</v>
      </c>
      <c r="T123" s="9"/>
      <c r="U123" s="9"/>
      <c r="V123" s="9"/>
      <c r="W123" s="9"/>
      <c r="X123" s="14"/>
      <c r="Y123" s="14"/>
      <c r="Z123" s="14"/>
      <c r="AA123" t="str">
        <f t="shared" si="3"/>
        <v>Pendiente</v>
      </c>
    </row>
    <row r="124" spans="1:27" ht="27" hidden="1">
      <c r="A124" s="11" t="s">
        <v>429</v>
      </c>
      <c r="B124" s="11" t="s">
        <v>722</v>
      </c>
      <c r="C124" s="11" t="s">
        <v>240</v>
      </c>
      <c r="D124" s="11" t="s">
        <v>241</v>
      </c>
      <c r="E124" s="11">
        <v>1</v>
      </c>
      <c r="F124" s="11" t="s">
        <v>723</v>
      </c>
      <c r="G124" s="11" t="s">
        <v>724</v>
      </c>
      <c r="H124" s="11" t="s">
        <v>58</v>
      </c>
      <c r="I124" s="11" t="s">
        <v>301</v>
      </c>
      <c r="J124" s="11" t="s">
        <v>301</v>
      </c>
      <c r="K124" s="11">
        <v>1</v>
      </c>
      <c r="L124" s="13" t="s">
        <v>725</v>
      </c>
      <c r="M124" s="13" t="s">
        <v>726</v>
      </c>
      <c r="N124" s="13" t="s">
        <v>727</v>
      </c>
      <c r="O124" s="12">
        <v>0</v>
      </c>
      <c r="P124" s="11"/>
      <c r="Q124" s="11"/>
      <c r="R124" s="11" t="s">
        <v>301</v>
      </c>
      <c r="S124" s="11" t="s">
        <v>159</v>
      </c>
      <c r="T124" s="9"/>
      <c r="U124" s="9"/>
      <c r="V124" s="9"/>
      <c r="W124" s="9"/>
      <c r="X124" s="14"/>
      <c r="Y124" s="14"/>
      <c r="Z124" s="14"/>
      <c r="AA124" t="str">
        <f t="shared" si="3"/>
        <v>Pendiente</v>
      </c>
    </row>
    <row r="125" spans="1:27" ht="27" hidden="1">
      <c r="A125" s="11" t="s">
        <v>429</v>
      </c>
      <c r="B125" s="11" t="s">
        <v>728</v>
      </c>
      <c r="C125" s="11" t="s">
        <v>240</v>
      </c>
      <c r="D125" s="11" t="s">
        <v>241</v>
      </c>
      <c r="E125" s="11">
        <v>2</v>
      </c>
      <c r="F125" s="11" t="s">
        <v>729</v>
      </c>
      <c r="G125" s="11" t="s">
        <v>730</v>
      </c>
      <c r="H125" s="11" t="s">
        <v>58</v>
      </c>
      <c r="I125" s="11" t="s">
        <v>59</v>
      </c>
      <c r="J125" s="11" t="s">
        <v>59</v>
      </c>
      <c r="K125" s="11">
        <v>4</v>
      </c>
      <c r="L125" s="13" t="s">
        <v>731</v>
      </c>
      <c r="M125" s="13" t="s">
        <v>732</v>
      </c>
      <c r="N125" s="13" t="s">
        <v>733</v>
      </c>
      <c r="O125" s="12">
        <v>0</v>
      </c>
      <c r="P125" s="11"/>
      <c r="Q125" s="11"/>
      <c r="R125" s="11" t="s">
        <v>301</v>
      </c>
      <c r="S125" s="11" t="s">
        <v>64</v>
      </c>
      <c r="T125" s="9"/>
      <c r="U125" s="9"/>
      <c r="V125" s="9"/>
      <c r="W125" s="9"/>
      <c r="X125" s="14"/>
      <c r="Y125" s="14"/>
      <c r="Z125" s="14"/>
      <c r="AA125" t="str">
        <f t="shared" si="3"/>
        <v>Pendiente</v>
      </c>
    </row>
    <row r="126" spans="1:27" ht="40.5" hidden="1">
      <c r="A126" s="11" t="s">
        <v>429</v>
      </c>
      <c r="B126" s="11" t="s">
        <v>734</v>
      </c>
      <c r="C126" s="11" t="s">
        <v>240</v>
      </c>
      <c r="D126" s="11" t="s">
        <v>241</v>
      </c>
      <c r="E126" s="11">
        <v>3</v>
      </c>
      <c r="F126" s="11" t="s">
        <v>735</v>
      </c>
      <c r="G126" s="11" t="s">
        <v>736</v>
      </c>
      <c r="H126" s="11" t="s">
        <v>58</v>
      </c>
      <c r="I126" s="11" t="s">
        <v>59</v>
      </c>
      <c r="J126" s="11" t="s">
        <v>60</v>
      </c>
      <c r="K126" s="11">
        <v>6</v>
      </c>
      <c r="L126" s="13" t="s">
        <v>737</v>
      </c>
      <c r="M126" s="13" t="s">
        <v>738</v>
      </c>
      <c r="N126" s="13" t="s">
        <v>739</v>
      </c>
      <c r="O126" s="12">
        <v>0</v>
      </c>
      <c r="P126" s="11"/>
      <c r="Q126" s="11"/>
      <c r="R126" s="11" t="s">
        <v>301</v>
      </c>
      <c r="S126" s="11" t="s">
        <v>64</v>
      </c>
      <c r="T126" s="9"/>
      <c r="U126" s="9"/>
      <c r="V126" s="9"/>
      <c r="W126" s="9"/>
      <c r="X126" s="14"/>
      <c r="Y126" s="14"/>
      <c r="Z126" s="14"/>
      <c r="AA126" t="str">
        <f t="shared" si="3"/>
        <v>Pendiente</v>
      </c>
    </row>
    <row r="127" spans="1:27" ht="40.5" hidden="1">
      <c r="A127" s="11" t="s">
        <v>429</v>
      </c>
      <c r="B127" s="11" t="s">
        <v>740</v>
      </c>
      <c r="C127" s="11" t="s">
        <v>240</v>
      </c>
      <c r="D127" s="11" t="s">
        <v>241</v>
      </c>
      <c r="E127" s="11">
        <v>3</v>
      </c>
      <c r="F127" s="11" t="s">
        <v>735</v>
      </c>
      <c r="G127" s="11" t="s">
        <v>741</v>
      </c>
      <c r="H127" s="11" t="s">
        <v>58</v>
      </c>
      <c r="I127" s="11" t="s">
        <v>60</v>
      </c>
      <c r="J127" s="11" t="s">
        <v>59</v>
      </c>
      <c r="K127" s="11">
        <v>6</v>
      </c>
      <c r="L127" s="13" t="s">
        <v>742</v>
      </c>
      <c r="M127" s="13" t="s">
        <v>743</v>
      </c>
      <c r="N127" s="13" t="s">
        <v>744</v>
      </c>
      <c r="O127" s="12">
        <v>0</v>
      </c>
      <c r="P127" s="11"/>
      <c r="Q127" s="11"/>
      <c r="R127" s="11" t="s">
        <v>301</v>
      </c>
      <c r="S127" s="11" t="s">
        <v>159</v>
      </c>
      <c r="T127" s="9"/>
      <c r="U127" s="9"/>
      <c r="V127" s="9"/>
      <c r="W127" s="9"/>
      <c r="X127" s="14"/>
      <c r="Y127" s="14"/>
      <c r="Z127" s="14"/>
      <c r="AA127" t="str">
        <f t="shared" si="3"/>
        <v>Pendiente</v>
      </c>
    </row>
    <row r="128" spans="1:27" ht="27" hidden="1">
      <c r="A128" s="11" t="s">
        <v>429</v>
      </c>
      <c r="B128" s="11" t="s">
        <v>745</v>
      </c>
      <c r="C128" s="11" t="s">
        <v>240</v>
      </c>
      <c r="D128" s="11" t="s">
        <v>241</v>
      </c>
      <c r="E128" s="11">
        <v>3</v>
      </c>
      <c r="F128" s="11" t="s">
        <v>735</v>
      </c>
      <c r="G128" s="11" t="s">
        <v>746</v>
      </c>
      <c r="H128" s="11" t="s">
        <v>155</v>
      </c>
      <c r="I128" s="11" t="s">
        <v>59</v>
      </c>
      <c r="J128" s="11" t="s">
        <v>59</v>
      </c>
      <c r="K128" s="11">
        <v>4</v>
      </c>
      <c r="L128" s="13" t="s">
        <v>747</v>
      </c>
      <c r="M128" s="13" t="s">
        <v>748</v>
      </c>
      <c r="N128" s="13" t="s">
        <v>749</v>
      </c>
      <c r="O128" s="12">
        <v>0</v>
      </c>
      <c r="P128" s="11"/>
      <c r="Q128" s="11"/>
      <c r="R128" s="11" t="s">
        <v>301</v>
      </c>
      <c r="S128" s="11" t="s">
        <v>64</v>
      </c>
      <c r="T128" s="9"/>
      <c r="U128" s="9"/>
      <c r="V128" s="9"/>
      <c r="W128" s="9"/>
      <c r="X128" s="14"/>
      <c r="Y128" s="14"/>
      <c r="Z128" s="14"/>
      <c r="AA128" t="str">
        <f t="shared" si="3"/>
        <v>Pendiente</v>
      </c>
    </row>
    <row r="129" spans="1:27" ht="40.5" hidden="1">
      <c r="A129" s="11" t="s">
        <v>429</v>
      </c>
      <c r="B129" s="11" t="s">
        <v>254</v>
      </c>
      <c r="C129" s="11" t="s">
        <v>240</v>
      </c>
      <c r="D129" s="11" t="s">
        <v>241</v>
      </c>
      <c r="E129" s="11">
        <v>4</v>
      </c>
      <c r="F129" s="11" t="s">
        <v>750</v>
      </c>
      <c r="G129" s="11" t="s">
        <v>751</v>
      </c>
      <c r="H129" s="11" t="s">
        <v>58</v>
      </c>
      <c r="I129" s="11" t="s">
        <v>59</v>
      </c>
      <c r="J129" s="11" t="s">
        <v>60</v>
      </c>
      <c r="K129" s="11">
        <v>6</v>
      </c>
      <c r="L129" s="13" t="s">
        <v>752</v>
      </c>
      <c r="M129" s="13" t="s">
        <v>753</v>
      </c>
      <c r="N129" s="13" t="s">
        <v>754</v>
      </c>
      <c r="O129" s="12">
        <v>0</v>
      </c>
      <c r="P129" s="11"/>
      <c r="Q129" s="11"/>
      <c r="R129" s="11" t="s">
        <v>301</v>
      </c>
      <c r="S129" s="11" t="s">
        <v>159</v>
      </c>
      <c r="T129" s="9"/>
      <c r="U129" s="9"/>
      <c r="V129" s="9"/>
      <c r="W129" s="9"/>
      <c r="X129" s="14"/>
      <c r="Y129" s="14"/>
      <c r="Z129" s="14"/>
      <c r="AA129" t="str">
        <f t="shared" si="3"/>
        <v>Pendiente</v>
      </c>
    </row>
    <row r="130" spans="1:27" ht="40.5" hidden="1">
      <c r="A130" s="11" t="s">
        <v>429</v>
      </c>
      <c r="B130" s="11" t="s">
        <v>755</v>
      </c>
      <c r="C130" s="11" t="s">
        <v>240</v>
      </c>
      <c r="D130" s="11" t="s">
        <v>241</v>
      </c>
      <c r="E130" s="11">
        <v>4</v>
      </c>
      <c r="F130" s="11" t="s">
        <v>750</v>
      </c>
      <c r="G130" s="11" t="s">
        <v>756</v>
      </c>
      <c r="H130" s="11" t="s">
        <v>118</v>
      </c>
      <c r="I130" s="11" t="s">
        <v>60</v>
      </c>
      <c r="J130" s="11" t="s">
        <v>59</v>
      </c>
      <c r="K130" s="11">
        <v>6</v>
      </c>
      <c r="L130" s="13" t="s">
        <v>757</v>
      </c>
      <c r="M130" s="13" t="s">
        <v>758</v>
      </c>
      <c r="N130" s="13" t="s">
        <v>759</v>
      </c>
      <c r="O130" s="12">
        <v>0</v>
      </c>
      <c r="P130" s="11"/>
      <c r="Q130" s="11"/>
      <c r="R130" s="11" t="s">
        <v>301</v>
      </c>
      <c r="S130" s="11" t="s">
        <v>64</v>
      </c>
      <c r="T130" s="9"/>
      <c r="U130" s="9"/>
      <c r="V130" s="9"/>
      <c r="W130" s="9"/>
      <c r="X130" s="14"/>
      <c r="Y130" s="14"/>
      <c r="Z130" s="14"/>
      <c r="AA130" t="str">
        <f t="shared" ref="AA130:AA157" si="4">IF(T130="","Pendiente",IF(T130=1,"Válido","Falso positivo"))</f>
        <v>Pendiente</v>
      </c>
    </row>
    <row r="131" spans="1:27" ht="40.5" hidden="1">
      <c r="A131" s="11" t="s">
        <v>429</v>
      </c>
      <c r="B131" s="11" t="s">
        <v>760</v>
      </c>
      <c r="C131" s="11" t="s">
        <v>240</v>
      </c>
      <c r="D131" s="11" t="s">
        <v>241</v>
      </c>
      <c r="E131" s="11">
        <v>4</v>
      </c>
      <c r="F131" s="11" t="s">
        <v>750</v>
      </c>
      <c r="G131" s="11" t="s">
        <v>761</v>
      </c>
      <c r="H131" s="11" t="s">
        <v>197</v>
      </c>
      <c r="I131" s="11" t="s">
        <v>59</v>
      </c>
      <c r="J131" s="11" t="s">
        <v>60</v>
      </c>
      <c r="K131" s="11">
        <v>6</v>
      </c>
      <c r="L131" s="13" t="s">
        <v>762</v>
      </c>
      <c r="M131" s="13" t="s">
        <v>763</v>
      </c>
      <c r="N131" s="13" t="s">
        <v>764</v>
      </c>
      <c r="O131" s="12">
        <v>0</v>
      </c>
      <c r="P131" s="11"/>
      <c r="Q131" s="11"/>
      <c r="R131" s="11" t="s">
        <v>301</v>
      </c>
      <c r="S131" s="11" t="s">
        <v>64</v>
      </c>
      <c r="T131" s="9"/>
      <c r="U131" s="9"/>
      <c r="V131" s="9"/>
      <c r="W131" s="9"/>
      <c r="X131" s="14"/>
      <c r="Y131" s="14"/>
      <c r="Z131" s="14"/>
      <c r="AA131" t="str">
        <f t="shared" si="4"/>
        <v>Pendiente</v>
      </c>
    </row>
    <row r="132" spans="1:27" ht="27" hidden="1">
      <c r="A132" s="11" t="s">
        <v>429</v>
      </c>
      <c r="B132" s="11" t="s">
        <v>765</v>
      </c>
      <c r="C132" s="11" t="s">
        <v>240</v>
      </c>
      <c r="D132" s="11" t="s">
        <v>241</v>
      </c>
      <c r="E132" s="11">
        <v>4</v>
      </c>
      <c r="F132" s="11" t="s">
        <v>766</v>
      </c>
      <c r="G132" s="11" t="s">
        <v>767</v>
      </c>
      <c r="H132" s="11" t="s">
        <v>58</v>
      </c>
      <c r="I132" s="11" t="s">
        <v>59</v>
      </c>
      <c r="J132" s="11" t="s">
        <v>60</v>
      </c>
      <c r="K132" s="11">
        <v>6</v>
      </c>
      <c r="L132" s="13" t="s">
        <v>768</v>
      </c>
      <c r="M132" s="13" t="s">
        <v>769</v>
      </c>
      <c r="N132" s="13" t="s">
        <v>770</v>
      </c>
      <c r="O132" s="12">
        <v>0</v>
      </c>
      <c r="P132" s="11"/>
      <c r="Q132" s="11"/>
      <c r="R132" s="11" t="s">
        <v>301</v>
      </c>
      <c r="S132" s="11" t="s">
        <v>159</v>
      </c>
      <c r="T132" s="9"/>
      <c r="U132" s="9"/>
      <c r="V132" s="9"/>
      <c r="W132" s="9"/>
      <c r="X132" s="14"/>
      <c r="Y132" s="14"/>
      <c r="Z132" s="14"/>
      <c r="AA132" t="str">
        <f t="shared" si="4"/>
        <v>Pendiente</v>
      </c>
    </row>
    <row r="133" spans="1:27" ht="27" hidden="1">
      <c r="A133" s="11" t="s">
        <v>429</v>
      </c>
      <c r="B133" s="11" t="s">
        <v>771</v>
      </c>
      <c r="C133" s="11" t="s">
        <v>240</v>
      </c>
      <c r="D133" s="11" t="s">
        <v>241</v>
      </c>
      <c r="E133" s="11">
        <v>4</v>
      </c>
      <c r="F133" s="11" t="s">
        <v>766</v>
      </c>
      <c r="G133" s="11" t="s">
        <v>772</v>
      </c>
      <c r="H133" s="11" t="s">
        <v>118</v>
      </c>
      <c r="I133" s="11" t="s">
        <v>59</v>
      </c>
      <c r="J133" s="11" t="s">
        <v>59</v>
      </c>
      <c r="K133" s="11">
        <v>4</v>
      </c>
      <c r="L133" s="13" t="s">
        <v>773</v>
      </c>
      <c r="M133" s="13" t="s">
        <v>774</v>
      </c>
      <c r="N133" s="13" t="s">
        <v>775</v>
      </c>
      <c r="O133" s="12">
        <v>0</v>
      </c>
      <c r="P133" s="11"/>
      <c r="Q133" s="11"/>
      <c r="R133" s="11" t="s">
        <v>301</v>
      </c>
      <c r="S133" s="11" t="s">
        <v>64</v>
      </c>
      <c r="T133" s="9"/>
      <c r="U133" s="9"/>
      <c r="V133" s="9"/>
      <c r="W133" s="9"/>
      <c r="X133" s="14"/>
      <c r="Y133" s="14"/>
      <c r="Z133" s="14"/>
      <c r="AA133" t="str">
        <f t="shared" si="4"/>
        <v>Pendiente</v>
      </c>
    </row>
    <row r="134" spans="1:27" ht="27" hidden="1">
      <c r="A134" s="11" t="s">
        <v>429</v>
      </c>
      <c r="B134" s="11" t="s">
        <v>776</v>
      </c>
      <c r="C134" s="11" t="s">
        <v>240</v>
      </c>
      <c r="D134" s="11" t="s">
        <v>241</v>
      </c>
      <c r="E134" s="11">
        <v>6</v>
      </c>
      <c r="F134" s="11" t="s">
        <v>777</v>
      </c>
      <c r="G134" s="11" t="s">
        <v>778</v>
      </c>
      <c r="H134" s="11" t="s">
        <v>58</v>
      </c>
      <c r="I134" s="11" t="s">
        <v>59</v>
      </c>
      <c r="J134" s="11" t="s">
        <v>60</v>
      </c>
      <c r="K134" s="11">
        <v>6</v>
      </c>
      <c r="L134" s="13" t="s">
        <v>779</v>
      </c>
      <c r="M134" s="13" t="s">
        <v>780</v>
      </c>
      <c r="N134" s="13" t="s">
        <v>781</v>
      </c>
      <c r="O134" s="12">
        <v>0</v>
      </c>
      <c r="P134" s="11"/>
      <c r="Q134" s="11"/>
      <c r="R134" s="11" t="s">
        <v>301</v>
      </c>
      <c r="S134" s="11" t="s">
        <v>64</v>
      </c>
      <c r="T134" s="9"/>
      <c r="U134" s="9"/>
      <c r="V134" s="9"/>
      <c r="W134" s="9"/>
      <c r="X134" s="14"/>
      <c r="Y134" s="14"/>
      <c r="Z134" s="14"/>
      <c r="AA134" t="str">
        <f t="shared" si="4"/>
        <v>Pendiente</v>
      </c>
    </row>
    <row r="135" spans="1:27" ht="40.5" hidden="1">
      <c r="A135" s="11" t="s">
        <v>429</v>
      </c>
      <c r="B135" s="11" t="s">
        <v>782</v>
      </c>
      <c r="C135" s="11" t="s">
        <v>240</v>
      </c>
      <c r="D135" s="11" t="s">
        <v>241</v>
      </c>
      <c r="E135" s="11">
        <v>6</v>
      </c>
      <c r="F135" s="11" t="s">
        <v>777</v>
      </c>
      <c r="G135" s="11" t="s">
        <v>783</v>
      </c>
      <c r="H135" s="11" t="s">
        <v>58</v>
      </c>
      <c r="I135" s="11" t="s">
        <v>59</v>
      </c>
      <c r="J135" s="11" t="s">
        <v>60</v>
      </c>
      <c r="K135" s="11">
        <v>6</v>
      </c>
      <c r="L135" s="13" t="s">
        <v>784</v>
      </c>
      <c r="M135" s="13" t="s">
        <v>785</v>
      </c>
      <c r="N135" s="13" t="s">
        <v>786</v>
      </c>
      <c r="O135" s="12">
        <v>0</v>
      </c>
      <c r="P135" s="11"/>
      <c r="Q135" s="11"/>
      <c r="R135" s="11" t="s">
        <v>301</v>
      </c>
      <c r="S135" s="11" t="s">
        <v>64</v>
      </c>
      <c r="T135" s="9"/>
      <c r="U135" s="9"/>
      <c r="V135" s="9"/>
      <c r="W135" s="9"/>
      <c r="X135" s="14"/>
      <c r="Y135" s="14"/>
      <c r="Z135" s="14"/>
      <c r="AA135" t="str">
        <f t="shared" si="4"/>
        <v>Pendiente</v>
      </c>
    </row>
    <row r="136" spans="1:27" ht="40.5" hidden="1">
      <c r="A136" s="11" t="s">
        <v>429</v>
      </c>
      <c r="B136" s="11" t="s">
        <v>292</v>
      </c>
      <c r="C136" s="11" t="s">
        <v>240</v>
      </c>
      <c r="D136" s="11" t="s">
        <v>241</v>
      </c>
      <c r="E136" s="11">
        <v>7</v>
      </c>
      <c r="F136" s="11" t="s">
        <v>787</v>
      </c>
      <c r="G136" s="11" t="s">
        <v>788</v>
      </c>
      <c r="H136" s="11" t="s">
        <v>58</v>
      </c>
      <c r="I136" s="11" t="s">
        <v>59</v>
      </c>
      <c r="J136" s="11" t="s">
        <v>59</v>
      </c>
      <c r="K136" s="11">
        <v>4</v>
      </c>
      <c r="L136" s="13" t="s">
        <v>789</v>
      </c>
      <c r="M136" s="13" t="s">
        <v>790</v>
      </c>
      <c r="N136" s="13" t="s">
        <v>791</v>
      </c>
      <c r="O136" s="12">
        <v>0</v>
      </c>
      <c r="P136" s="11"/>
      <c r="Q136" s="11"/>
      <c r="R136" s="11" t="s">
        <v>301</v>
      </c>
      <c r="S136" s="11" t="s">
        <v>64</v>
      </c>
      <c r="T136" s="9"/>
      <c r="U136" s="9"/>
      <c r="V136" s="9"/>
      <c r="W136" s="9"/>
      <c r="X136" s="14"/>
      <c r="Y136" s="14"/>
      <c r="Z136" s="14"/>
      <c r="AA136" t="str">
        <f t="shared" si="4"/>
        <v>Pendiente</v>
      </c>
    </row>
    <row r="137" spans="1:27" ht="27" hidden="1">
      <c r="A137" s="11" t="s">
        <v>429</v>
      </c>
      <c r="B137" s="11" t="s">
        <v>322</v>
      </c>
      <c r="C137" s="11" t="s">
        <v>240</v>
      </c>
      <c r="D137" s="11" t="s">
        <v>241</v>
      </c>
      <c r="E137" s="11">
        <v>10</v>
      </c>
      <c r="F137" s="11" t="s">
        <v>792</v>
      </c>
      <c r="G137" s="11" t="s">
        <v>793</v>
      </c>
      <c r="H137" s="11" t="s">
        <v>112</v>
      </c>
      <c r="I137" s="11" t="s">
        <v>59</v>
      </c>
      <c r="J137" s="11" t="s">
        <v>59</v>
      </c>
      <c r="K137" s="11">
        <v>4</v>
      </c>
      <c r="L137" s="13" t="s">
        <v>794</v>
      </c>
      <c r="M137" s="13" t="s">
        <v>795</v>
      </c>
      <c r="N137" s="13" t="s">
        <v>796</v>
      </c>
      <c r="O137" s="12">
        <v>0</v>
      </c>
      <c r="P137" s="11"/>
      <c r="Q137" s="11"/>
      <c r="R137" s="11" t="s">
        <v>301</v>
      </c>
      <c r="S137" s="11" t="s">
        <v>64</v>
      </c>
      <c r="T137" s="9"/>
      <c r="U137" s="9"/>
      <c r="V137" s="9"/>
      <c r="W137" s="9"/>
      <c r="X137" s="14"/>
      <c r="Y137" s="14"/>
      <c r="Z137" s="14"/>
      <c r="AA137" t="str">
        <f t="shared" si="4"/>
        <v>Pendiente</v>
      </c>
    </row>
    <row r="138" spans="1:27" ht="27" hidden="1">
      <c r="A138" s="11" t="s">
        <v>429</v>
      </c>
      <c r="B138" s="11" t="s">
        <v>797</v>
      </c>
      <c r="C138" s="11" t="s">
        <v>240</v>
      </c>
      <c r="D138" s="11" t="s">
        <v>241</v>
      </c>
      <c r="E138" s="11">
        <v>10</v>
      </c>
      <c r="F138" s="11" t="s">
        <v>792</v>
      </c>
      <c r="G138" s="11" t="s">
        <v>798</v>
      </c>
      <c r="H138" s="11" t="s">
        <v>89</v>
      </c>
      <c r="I138" s="11" t="s">
        <v>59</v>
      </c>
      <c r="J138" s="11" t="s">
        <v>59</v>
      </c>
      <c r="K138" s="11">
        <v>4</v>
      </c>
      <c r="L138" s="13" t="s">
        <v>799</v>
      </c>
      <c r="M138" s="13" t="s">
        <v>800</v>
      </c>
      <c r="N138" s="13" t="s">
        <v>801</v>
      </c>
      <c r="O138" s="12">
        <v>0</v>
      </c>
      <c r="P138" s="11"/>
      <c r="Q138" s="11"/>
      <c r="R138" s="11" t="s">
        <v>301</v>
      </c>
      <c r="S138" s="11" t="s">
        <v>64</v>
      </c>
      <c r="T138" s="9"/>
      <c r="U138" s="9"/>
      <c r="V138" s="9"/>
      <c r="W138" s="9"/>
      <c r="X138" s="14"/>
      <c r="Y138" s="14"/>
      <c r="Z138" s="14"/>
      <c r="AA138" t="str">
        <f t="shared" si="4"/>
        <v>Pendiente</v>
      </c>
    </row>
    <row r="139" spans="1:27" ht="40.5" hidden="1">
      <c r="A139" s="11" t="s">
        <v>429</v>
      </c>
      <c r="B139" s="11" t="s">
        <v>802</v>
      </c>
      <c r="C139" s="11" t="s">
        <v>331</v>
      </c>
      <c r="D139" s="11" t="s">
        <v>332</v>
      </c>
      <c r="E139" s="11">
        <v>2</v>
      </c>
      <c r="F139" s="11" t="s">
        <v>803</v>
      </c>
      <c r="G139" s="11" t="s">
        <v>804</v>
      </c>
      <c r="H139" s="11" t="s">
        <v>58</v>
      </c>
      <c r="I139" s="11" t="s">
        <v>59</v>
      </c>
      <c r="J139" s="11" t="s">
        <v>59</v>
      </c>
      <c r="K139" s="11">
        <v>4</v>
      </c>
      <c r="L139" s="13" t="s">
        <v>805</v>
      </c>
      <c r="M139" s="13" t="s">
        <v>806</v>
      </c>
      <c r="N139" s="13" t="s">
        <v>807</v>
      </c>
      <c r="O139" s="12">
        <v>0</v>
      </c>
      <c r="P139" s="11"/>
      <c r="Q139" s="11"/>
      <c r="R139" s="11" t="s">
        <v>301</v>
      </c>
      <c r="S139" s="11" t="s">
        <v>64</v>
      </c>
      <c r="T139" s="9"/>
      <c r="U139" s="9"/>
      <c r="V139" s="9"/>
      <c r="W139" s="9"/>
      <c r="X139" s="14"/>
      <c r="Y139" s="14"/>
      <c r="Z139" s="14"/>
      <c r="AA139" t="str">
        <f t="shared" si="4"/>
        <v>Pendiente</v>
      </c>
    </row>
    <row r="140" spans="1:27" ht="40.5" hidden="1">
      <c r="A140" s="11" t="s">
        <v>429</v>
      </c>
      <c r="B140" s="11" t="s">
        <v>808</v>
      </c>
      <c r="C140" s="11" t="s">
        <v>331</v>
      </c>
      <c r="D140" s="11" t="s">
        <v>332</v>
      </c>
      <c r="E140" s="11">
        <v>2</v>
      </c>
      <c r="F140" s="11" t="s">
        <v>803</v>
      </c>
      <c r="G140" s="11" t="s">
        <v>809</v>
      </c>
      <c r="H140" s="11" t="s">
        <v>89</v>
      </c>
      <c r="I140" s="11" t="s">
        <v>59</v>
      </c>
      <c r="J140" s="11" t="s">
        <v>59</v>
      </c>
      <c r="K140" s="11">
        <v>4</v>
      </c>
      <c r="L140" s="13" t="s">
        <v>810</v>
      </c>
      <c r="M140" s="13" t="s">
        <v>811</v>
      </c>
      <c r="N140" s="13" t="s">
        <v>812</v>
      </c>
      <c r="O140" s="12">
        <v>0</v>
      </c>
      <c r="P140" s="11"/>
      <c r="Q140" s="11"/>
      <c r="R140" s="11" t="s">
        <v>301</v>
      </c>
      <c r="S140" s="11" t="s">
        <v>64</v>
      </c>
      <c r="T140" s="9"/>
      <c r="U140" s="9"/>
      <c r="V140" s="9"/>
      <c r="W140" s="9"/>
      <c r="X140" s="14"/>
      <c r="Y140" s="14"/>
      <c r="Z140" s="14"/>
      <c r="AA140" t="str">
        <f t="shared" si="4"/>
        <v>Pendiente</v>
      </c>
    </row>
    <row r="141" spans="1:27" ht="40.5" hidden="1">
      <c r="A141" s="11" t="s">
        <v>429</v>
      </c>
      <c r="B141" s="11" t="s">
        <v>813</v>
      </c>
      <c r="C141" s="11" t="s">
        <v>331</v>
      </c>
      <c r="D141" s="11" t="s">
        <v>332</v>
      </c>
      <c r="E141" s="11">
        <v>2</v>
      </c>
      <c r="F141" s="11" t="s">
        <v>814</v>
      </c>
      <c r="G141" s="11" t="s">
        <v>815</v>
      </c>
      <c r="H141" s="11" t="s">
        <v>89</v>
      </c>
      <c r="I141" s="11" t="s">
        <v>59</v>
      </c>
      <c r="J141" s="11" t="s">
        <v>59</v>
      </c>
      <c r="K141" s="11">
        <v>4</v>
      </c>
      <c r="L141" s="13" t="s">
        <v>816</v>
      </c>
      <c r="M141" s="13" t="s">
        <v>817</v>
      </c>
      <c r="N141" s="13" t="s">
        <v>818</v>
      </c>
      <c r="O141" s="12">
        <v>0</v>
      </c>
      <c r="P141" s="11"/>
      <c r="Q141" s="11"/>
      <c r="R141" s="11" t="s">
        <v>301</v>
      </c>
      <c r="S141" s="11" t="s">
        <v>64</v>
      </c>
      <c r="T141" s="9"/>
      <c r="U141" s="9"/>
      <c r="V141" s="9"/>
      <c r="W141" s="9"/>
      <c r="X141" s="14"/>
      <c r="Y141" s="14"/>
      <c r="Z141" s="14"/>
      <c r="AA141" t="str">
        <f t="shared" si="4"/>
        <v>Pendiente</v>
      </c>
    </row>
    <row r="142" spans="1:27" ht="54" hidden="1">
      <c r="A142" s="11" t="s">
        <v>429</v>
      </c>
      <c r="B142" s="11" t="s">
        <v>819</v>
      </c>
      <c r="C142" s="11" t="s">
        <v>331</v>
      </c>
      <c r="D142" s="11" t="s">
        <v>332</v>
      </c>
      <c r="E142" s="11">
        <v>2</v>
      </c>
      <c r="F142" s="11" t="s">
        <v>814</v>
      </c>
      <c r="G142" s="11" t="s">
        <v>820</v>
      </c>
      <c r="H142" s="11" t="s">
        <v>58</v>
      </c>
      <c r="I142" s="11" t="s">
        <v>60</v>
      </c>
      <c r="J142" s="11" t="s">
        <v>59</v>
      </c>
      <c r="K142" s="11">
        <v>6</v>
      </c>
      <c r="L142" s="13" t="s">
        <v>821</v>
      </c>
      <c r="M142" s="13" t="s">
        <v>822</v>
      </c>
      <c r="N142" s="13" t="s">
        <v>823</v>
      </c>
      <c r="O142" s="12">
        <v>0</v>
      </c>
      <c r="P142" s="11"/>
      <c r="Q142" s="11"/>
      <c r="R142" s="11" t="s">
        <v>301</v>
      </c>
      <c r="S142" s="11" t="s">
        <v>64</v>
      </c>
      <c r="T142" s="9"/>
      <c r="U142" s="9"/>
      <c r="V142" s="9"/>
      <c r="W142" s="9"/>
      <c r="X142" s="14"/>
      <c r="Y142" s="14"/>
      <c r="Z142" s="14"/>
      <c r="AA142" t="str">
        <f t="shared" si="4"/>
        <v>Pendiente</v>
      </c>
    </row>
    <row r="143" spans="1:27" ht="27" hidden="1">
      <c r="A143" s="11" t="s">
        <v>429</v>
      </c>
      <c r="B143" s="11" t="s">
        <v>824</v>
      </c>
      <c r="C143" s="11" t="s">
        <v>331</v>
      </c>
      <c r="D143" s="11" t="s">
        <v>332</v>
      </c>
      <c r="E143" s="11">
        <v>3</v>
      </c>
      <c r="F143" s="11" t="s">
        <v>825</v>
      </c>
      <c r="G143" s="11" t="s">
        <v>826</v>
      </c>
      <c r="H143" s="11" t="s">
        <v>58</v>
      </c>
      <c r="I143" s="11" t="s">
        <v>59</v>
      </c>
      <c r="J143" s="11" t="s">
        <v>60</v>
      </c>
      <c r="K143" s="11">
        <v>6</v>
      </c>
      <c r="L143" s="13" t="s">
        <v>827</v>
      </c>
      <c r="M143" s="13" t="s">
        <v>828</v>
      </c>
      <c r="N143" s="13" t="s">
        <v>829</v>
      </c>
      <c r="O143" s="12">
        <v>0</v>
      </c>
      <c r="P143" s="11"/>
      <c r="Q143" s="11"/>
      <c r="R143" s="11" t="s">
        <v>301</v>
      </c>
      <c r="S143" s="11" t="s">
        <v>64</v>
      </c>
      <c r="T143" s="9"/>
      <c r="U143" s="9"/>
      <c r="V143" s="9"/>
      <c r="W143" s="9"/>
      <c r="X143" s="14"/>
      <c r="Y143" s="14"/>
      <c r="Z143" s="14"/>
      <c r="AA143" t="str">
        <f t="shared" si="4"/>
        <v>Pendiente</v>
      </c>
    </row>
    <row r="144" spans="1:27" ht="40.5" hidden="1">
      <c r="A144" s="11" t="s">
        <v>429</v>
      </c>
      <c r="B144" s="11" t="s">
        <v>830</v>
      </c>
      <c r="C144" s="11" t="s">
        <v>331</v>
      </c>
      <c r="D144" s="11" t="s">
        <v>332</v>
      </c>
      <c r="E144" s="11">
        <v>3</v>
      </c>
      <c r="F144" s="11" t="s">
        <v>825</v>
      </c>
      <c r="G144" s="11" t="s">
        <v>831</v>
      </c>
      <c r="H144" s="11" t="s">
        <v>89</v>
      </c>
      <c r="I144" s="11" t="s">
        <v>59</v>
      </c>
      <c r="J144" s="11" t="s">
        <v>59</v>
      </c>
      <c r="K144" s="11">
        <v>4</v>
      </c>
      <c r="L144" s="13" t="s">
        <v>832</v>
      </c>
      <c r="M144" s="13" t="s">
        <v>833</v>
      </c>
      <c r="N144" s="13" t="s">
        <v>834</v>
      </c>
      <c r="O144" s="12">
        <v>0</v>
      </c>
      <c r="P144" s="11"/>
      <c r="Q144" s="11"/>
      <c r="R144" s="11" t="s">
        <v>301</v>
      </c>
      <c r="S144" s="11" t="s">
        <v>64</v>
      </c>
      <c r="T144" s="9"/>
      <c r="U144" s="9"/>
      <c r="V144" s="9"/>
      <c r="W144" s="9"/>
      <c r="X144" s="14"/>
      <c r="Y144" s="14"/>
      <c r="Z144" s="14"/>
      <c r="AA144" t="str">
        <f t="shared" si="4"/>
        <v>Pendiente</v>
      </c>
    </row>
    <row r="145" spans="1:27" ht="27" hidden="1">
      <c r="A145" s="11" t="s">
        <v>429</v>
      </c>
      <c r="B145" s="11" t="s">
        <v>835</v>
      </c>
      <c r="C145" s="11" t="s">
        <v>331</v>
      </c>
      <c r="D145" s="11" t="s">
        <v>332</v>
      </c>
      <c r="E145" s="11">
        <v>3</v>
      </c>
      <c r="F145" s="11" t="s">
        <v>836</v>
      </c>
      <c r="G145" s="11" t="s">
        <v>837</v>
      </c>
      <c r="H145" s="11" t="s">
        <v>58</v>
      </c>
      <c r="I145" s="11" t="s">
        <v>60</v>
      </c>
      <c r="J145" s="11" t="s">
        <v>59</v>
      </c>
      <c r="K145" s="11">
        <v>6</v>
      </c>
      <c r="L145" s="13" t="s">
        <v>838</v>
      </c>
      <c r="M145" s="13" t="s">
        <v>839</v>
      </c>
      <c r="N145" s="13" t="s">
        <v>840</v>
      </c>
      <c r="O145" s="12">
        <v>0</v>
      </c>
      <c r="P145" s="11"/>
      <c r="Q145" s="11"/>
      <c r="R145" s="11" t="s">
        <v>301</v>
      </c>
      <c r="S145" s="11" t="s">
        <v>64</v>
      </c>
      <c r="T145" s="9"/>
      <c r="U145" s="9"/>
      <c r="V145" s="9"/>
      <c r="W145" s="9"/>
      <c r="X145" s="14"/>
      <c r="Y145" s="14"/>
      <c r="Z145" s="14"/>
      <c r="AA145" t="str">
        <f t="shared" si="4"/>
        <v>Pendiente</v>
      </c>
    </row>
    <row r="146" spans="1:27" ht="27" hidden="1">
      <c r="A146" s="11" t="s">
        <v>429</v>
      </c>
      <c r="B146" s="11" t="s">
        <v>841</v>
      </c>
      <c r="C146" s="11" t="s">
        <v>331</v>
      </c>
      <c r="D146" s="11" t="s">
        <v>332</v>
      </c>
      <c r="E146" s="11">
        <v>3</v>
      </c>
      <c r="F146" s="11" t="s">
        <v>836</v>
      </c>
      <c r="G146" s="11" t="s">
        <v>842</v>
      </c>
      <c r="H146" s="11" t="s">
        <v>155</v>
      </c>
      <c r="I146" s="11" t="s">
        <v>59</v>
      </c>
      <c r="J146" s="11" t="s">
        <v>60</v>
      </c>
      <c r="K146" s="11">
        <v>6</v>
      </c>
      <c r="L146" s="13" t="s">
        <v>843</v>
      </c>
      <c r="M146" s="13" t="s">
        <v>844</v>
      </c>
      <c r="N146" s="13" t="s">
        <v>845</v>
      </c>
      <c r="O146" s="12">
        <v>0</v>
      </c>
      <c r="P146" s="11"/>
      <c r="Q146" s="11"/>
      <c r="R146" s="11" t="s">
        <v>301</v>
      </c>
      <c r="S146" s="11" t="s">
        <v>64</v>
      </c>
      <c r="T146" s="9"/>
      <c r="U146" s="9"/>
      <c r="V146" s="9"/>
      <c r="W146" s="9"/>
      <c r="X146" s="14"/>
      <c r="Y146" s="14"/>
      <c r="Z146" s="14"/>
      <c r="AA146" t="str">
        <f t="shared" si="4"/>
        <v>Pendiente</v>
      </c>
    </row>
    <row r="147" spans="1:27" ht="40.5" hidden="1">
      <c r="A147" s="11" t="s">
        <v>429</v>
      </c>
      <c r="B147" s="11" t="s">
        <v>846</v>
      </c>
      <c r="C147" s="11" t="s">
        <v>331</v>
      </c>
      <c r="D147" s="11" t="s">
        <v>332</v>
      </c>
      <c r="E147" s="11">
        <v>3</v>
      </c>
      <c r="F147" s="11" t="s">
        <v>836</v>
      </c>
      <c r="G147" s="11" t="s">
        <v>847</v>
      </c>
      <c r="H147" s="11" t="s">
        <v>197</v>
      </c>
      <c r="I147" s="11" t="s">
        <v>59</v>
      </c>
      <c r="J147" s="11" t="s">
        <v>59</v>
      </c>
      <c r="K147" s="11">
        <v>4</v>
      </c>
      <c r="L147" s="13" t="s">
        <v>848</v>
      </c>
      <c r="M147" s="13" t="s">
        <v>849</v>
      </c>
      <c r="N147" s="13" t="s">
        <v>850</v>
      </c>
      <c r="O147" s="12">
        <v>0</v>
      </c>
      <c r="P147" s="11"/>
      <c r="Q147" s="11"/>
      <c r="R147" s="11" t="s">
        <v>301</v>
      </c>
      <c r="S147" s="11" t="s">
        <v>64</v>
      </c>
      <c r="T147" s="9"/>
      <c r="U147" s="9"/>
      <c r="V147" s="9"/>
      <c r="W147" s="9"/>
      <c r="X147" s="14"/>
      <c r="Y147" s="14"/>
      <c r="Z147" s="14"/>
      <c r="AA147" t="str">
        <f t="shared" si="4"/>
        <v>Pendiente</v>
      </c>
    </row>
    <row r="148" spans="1:27" ht="40.5" hidden="1">
      <c r="A148" s="11" t="s">
        <v>429</v>
      </c>
      <c r="B148" s="11" t="s">
        <v>851</v>
      </c>
      <c r="C148" s="11" t="s">
        <v>331</v>
      </c>
      <c r="D148" s="11" t="s">
        <v>332</v>
      </c>
      <c r="E148" s="11">
        <v>5</v>
      </c>
      <c r="F148" s="11" t="s">
        <v>852</v>
      </c>
      <c r="G148" s="11" t="s">
        <v>853</v>
      </c>
      <c r="H148" s="11" t="s">
        <v>58</v>
      </c>
      <c r="I148" s="11" t="s">
        <v>59</v>
      </c>
      <c r="J148" s="11" t="s">
        <v>59</v>
      </c>
      <c r="K148" s="11">
        <v>4</v>
      </c>
      <c r="L148" s="13" t="s">
        <v>854</v>
      </c>
      <c r="M148" s="13" t="s">
        <v>855</v>
      </c>
      <c r="N148" s="13" t="s">
        <v>856</v>
      </c>
      <c r="O148" s="12">
        <v>0</v>
      </c>
      <c r="P148" s="11"/>
      <c r="Q148" s="11"/>
      <c r="R148" s="11" t="s">
        <v>301</v>
      </c>
      <c r="S148" s="11" t="s">
        <v>64</v>
      </c>
      <c r="T148" s="9"/>
      <c r="U148" s="9"/>
      <c r="V148" s="9"/>
      <c r="W148" s="9"/>
      <c r="X148" s="14"/>
      <c r="Y148" s="14"/>
      <c r="Z148" s="14"/>
      <c r="AA148" t="str">
        <f t="shared" si="4"/>
        <v>Pendiente</v>
      </c>
    </row>
    <row r="149" spans="1:27" ht="40.5" hidden="1">
      <c r="A149" s="11" t="s">
        <v>429</v>
      </c>
      <c r="B149" s="11" t="s">
        <v>857</v>
      </c>
      <c r="C149" s="11" t="s">
        <v>331</v>
      </c>
      <c r="D149" s="11" t="s">
        <v>332</v>
      </c>
      <c r="E149" s="11">
        <v>5</v>
      </c>
      <c r="F149" s="11" t="s">
        <v>852</v>
      </c>
      <c r="G149" s="11" t="s">
        <v>858</v>
      </c>
      <c r="H149" s="11" t="s">
        <v>89</v>
      </c>
      <c r="I149" s="11" t="s">
        <v>60</v>
      </c>
      <c r="J149" s="11" t="s">
        <v>59</v>
      </c>
      <c r="K149" s="11">
        <v>6</v>
      </c>
      <c r="L149" s="13" t="s">
        <v>859</v>
      </c>
      <c r="M149" s="13" t="s">
        <v>860</v>
      </c>
      <c r="N149" s="13" t="s">
        <v>861</v>
      </c>
      <c r="O149" s="12">
        <v>0</v>
      </c>
      <c r="P149" s="11"/>
      <c r="Q149" s="11"/>
      <c r="R149" s="11" t="s">
        <v>301</v>
      </c>
      <c r="S149" s="11" t="s">
        <v>64</v>
      </c>
      <c r="T149" s="9"/>
      <c r="U149" s="9"/>
      <c r="V149" s="9"/>
      <c r="W149" s="9"/>
      <c r="X149" s="14"/>
      <c r="Y149" s="14"/>
      <c r="Z149" s="14"/>
      <c r="AA149" t="str">
        <f t="shared" si="4"/>
        <v>Pendiente</v>
      </c>
    </row>
    <row r="150" spans="1:27" ht="27" hidden="1">
      <c r="A150" s="11" t="s">
        <v>429</v>
      </c>
      <c r="B150" s="11" t="s">
        <v>352</v>
      </c>
      <c r="C150" s="11" t="s">
        <v>862</v>
      </c>
      <c r="D150" s="11" t="s">
        <v>863</v>
      </c>
      <c r="E150" s="11">
        <v>2</v>
      </c>
      <c r="F150" s="11" t="s">
        <v>864</v>
      </c>
      <c r="G150" s="11" t="s">
        <v>865</v>
      </c>
      <c r="H150" s="11" t="s">
        <v>58</v>
      </c>
      <c r="I150" s="11" t="s">
        <v>301</v>
      </c>
      <c r="J150" s="11" t="s">
        <v>59</v>
      </c>
      <c r="K150" s="11">
        <v>2</v>
      </c>
      <c r="L150" s="13" t="s">
        <v>866</v>
      </c>
      <c r="M150" s="13" t="s">
        <v>867</v>
      </c>
      <c r="N150" s="13" t="s">
        <v>868</v>
      </c>
      <c r="O150" s="12">
        <v>0</v>
      </c>
      <c r="P150" s="11"/>
      <c r="Q150" s="11"/>
      <c r="R150" s="11" t="s">
        <v>301</v>
      </c>
      <c r="S150" s="11" t="s">
        <v>64</v>
      </c>
      <c r="T150" s="9"/>
      <c r="U150" s="9"/>
      <c r="V150" s="9"/>
      <c r="W150" s="9"/>
      <c r="X150" s="14"/>
      <c r="Y150" s="14"/>
      <c r="Z150" s="14"/>
      <c r="AA150" t="str">
        <f t="shared" si="4"/>
        <v>Pendiente</v>
      </c>
    </row>
    <row r="151" spans="1:27" ht="27" hidden="1">
      <c r="A151" s="11" t="s">
        <v>429</v>
      </c>
      <c r="B151" s="11" t="s">
        <v>869</v>
      </c>
      <c r="C151" s="11" t="s">
        <v>862</v>
      </c>
      <c r="D151" s="11" t="s">
        <v>863</v>
      </c>
      <c r="E151" s="11">
        <v>2</v>
      </c>
      <c r="F151" s="11" t="s">
        <v>864</v>
      </c>
      <c r="G151" s="11" t="s">
        <v>870</v>
      </c>
      <c r="H151" s="11" t="s">
        <v>89</v>
      </c>
      <c r="I151" s="11" t="s">
        <v>59</v>
      </c>
      <c r="J151" s="11" t="s">
        <v>59</v>
      </c>
      <c r="K151" s="11">
        <v>4</v>
      </c>
      <c r="L151" s="13" t="s">
        <v>871</v>
      </c>
      <c r="M151" s="13" t="s">
        <v>872</v>
      </c>
      <c r="N151" s="13" t="s">
        <v>873</v>
      </c>
      <c r="O151" s="12">
        <v>0</v>
      </c>
      <c r="P151" s="11"/>
      <c r="Q151" s="11"/>
      <c r="R151" s="11" t="s">
        <v>301</v>
      </c>
      <c r="S151" s="11" t="s">
        <v>64</v>
      </c>
      <c r="T151" s="9"/>
      <c r="U151" s="9"/>
      <c r="V151" s="9"/>
      <c r="W151" s="9"/>
      <c r="X151" s="14"/>
      <c r="Y151" s="14"/>
      <c r="Z151" s="14"/>
      <c r="AA151" t="str">
        <f t="shared" si="4"/>
        <v>Pendiente</v>
      </c>
    </row>
    <row r="152" spans="1:27" ht="54" hidden="1">
      <c r="A152" s="11" t="s">
        <v>429</v>
      </c>
      <c r="B152" s="11" t="s">
        <v>874</v>
      </c>
      <c r="C152" s="11" t="s">
        <v>862</v>
      </c>
      <c r="D152" s="11" t="s">
        <v>863</v>
      </c>
      <c r="E152" s="11">
        <v>2</v>
      </c>
      <c r="F152" s="11" t="s">
        <v>875</v>
      </c>
      <c r="G152" s="11" t="s">
        <v>865</v>
      </c>
      <c r="H152" s="11" t="s">
        <v>58</v>
      </c>
      <c r="I152" s="11" t="s">
        <v>59</v>
      </c>
      <c r="J152" s="11" t="s">
        <v>60</v>
      </c>
      <c r="K152" s="11">
        <v>6</v>
      </c>
      <c r="L152" s="13" t="s">
        <v>876</v>
      </c>
      <c r="M152" s="13" t="s">
        <v>877</v>
      </c>
      <c r="N152" s="13" t="s">
        <v>878</v>
      </c>
      <c r="O152" s="12">
        <v>0</v>
      </c>
      <c r="P152" s="11"/>
      <c r="Q152" s="11"/>
      <c r="R152" s="11" t="s">
        <v>301</v>
      </c>
      <c r="S152" s="11" t="s">
        <v>64</v>
      </c>
      <c r="T152" s="9"/>
      <c r="U152" s="9"/>
      <c r="V152" s="9"/>
      <c r="W152" s="9"/>
      <c r="X152" s="14"/>
      <c r="Y152" s="14"/>
      <c r="Z152" s="14"/>
      <c r="AA152" t="str">
        <f t="shared" si="4"/>
        <v>Pendiente</v>
      </c>
    </row>
    <row r="153" spans="1:27" ht="40.5" hidden="1">
      <c r="A153" s="11" t="s">
        <v>429</v>
      </c>
      <c r="B153" s="11" t="s">
        <v>879</v>
      </c>
      <c r="C153" s="11" t="s">
        <v>862</v>
      </c>
      <c r="D153" s="11" t="s">
        <v>863</v>
      </c>
      <c r="E153" s="11">
        <v>2</v>
      </c>
      <c r="F153" s="11" t="s">
        <v>875</v>
      </c>
      <c r="G153" s="11" t="s">
        <v>880</v>
      </c>
      <c r="H153" s="11" t="s">
        <v>155</v>
      </c>
      <c r="I153" s="11" t="s">
        <v>59</v>
      </c>
      <c r="J153" s="11" t="s">
        <v>59</v>
      </c>
      <c r="K153" s="11">
        <v>4</v>
      </c>
      <c r="L153" s="13" t="s">
        <v>881</v>
      </c>
      <c r="M153" s="13" t="s">
        <v>882</v>
      </c>
      <c r="N153" s="13" t="s">
        <v>883</v>
      </c>
      <c r="O153" s="12">
        <v>0</v>
      </c>
      <c r="P153" s="11"/>
      <c r="Q153" s="11"/>
      <c r="R153" s="11" t="s">
        <v>301</v>
      </c>
      <c r="S153" s="11" t="s">
        <v>64</v>
      </c>
      <c r="T153" s="9"/>
      <c r="U153" s="9"/>
      <c r="V153" s="9"/>
      <c r="W153" s="9"/>
      <c r="X153" s="14"/>
      <c r="Y153" s="14"/>
      <c r="Z153" s="14"/>
      <c r="AA153" t="str">
        <f t="shared" si="4"/>
        <v>Pendiente</v>
      </c>
    </row>
    <row r="154" spans="1:27" ht="40.5" hidden="1">
      <c r="A154" s="11" t="s">
        <v>429</v>
      </c>
      <c r="B154" s="11" t="s">
        <v>884</v>
      </c>
      <c r="C154" s="11" t="s">
        <v>862</v>
      </c>
      <c r="D154" s="11" t="s">
        <v>863</v>
      </c>
      <c r="E154" s="11">
        <v>3</v>
      </c>
      <c r="F154" s="11" t="s">
        <v>885</v>
      </c>
      <c r="G154" s="11" t="s">
        <v>831</v>
      </c>
      <c r="H154" s="11" t="s">
        <v>89</v>
      </c>
      <c r="I154" s="11" t="s">
        <v>60</v>
      </c>
      <c r="J154" s="11" t="s">
        <v>60</v>
      </c>
      <c r="K154" s="11">
        <v>9</v>
      </c>
      <c r="L154" s="13" t="s">
        <v>886</v>
      </c>
      <c r="M154" s="13" t="s">
        <v>887</v>
      </c>
      <c r="N154" s="13" t="s">
        <v>888</v>
      </c>
      <c r="O154" s="12">
        <v>0</v>
      </c>
      <c r="P154" s="11"/>
      <c r="Q154" s="11"/>
      <c r="R154" s="11" t="s">
        <v>301</v>
      </c>
      <c r="S154" s="11" t="s">
        <v>64</v>
      </c>
      <c r="T154" s="9"/>
      <c r="U154" s="9"/>
      <c r="V154" s="9"/>
      <c r="W154" s="9"/>
      <c r="X154" s="14"/>
      <c r="Y154" s="14"/>
      <c r="Z154" s="14"/>
      <c r="AA154" t="str">
        <f t="shared" si="4"/>
        <v>Pendiente</v>
      </c>
    </row>
    <row r="155" spans="1:27" ht="40.5" hidden="1">
      <c r="A155" s="11" t="s">
        <v>429</v>
      </c>
      <c r="B155" s="11" t="s">
        <v>889</v>
      </c>
      <c r="C155" s="11" t="s">
        <v>862</v>
      </c>
      <c r="D155" s="11" t="s">
        <v>863</v>
      </c>
      <c r="E155" s="11">
        <v>3</v>
      </c>
      <c r="F155" s="11" t="s">
        <v>890</v>
      </c>
      <c r="G155" s="11" t="s">
        <v>891</v>
      </c>
      <c r="H155" s="11" t="s">
        <v>89</v>
      </c>
      <c r="I155" s="11" t="s">
        <v>60</v>
      </c>
      <c r="J155" s="11" t="s">
        <v>60</v>
      </c>
      <c r="K155" s="11">
        <v>9</v>
      </c>
      <c r="L155" s="13" t="s">
        <v>892</v>
      </c>
      <c r="M155" s="13" t="s">
        <v>893</v>
      </c>
      <c r="N155" s="13" t="s">
        <v>894</v>
      </c>
      <c r="O155" s="12">
        <v>0</v>
      </c>
      <c r="P155" s="11"/>
      <c r="Q155" s="11"/>
      <c r="R155" s="11" t="s">
        <v>301</v>
      </c>
      <c r="S155" s="11" t="s">
        <v>64</v>
      </c>
      <c r="T155" s="9"/>
      <c r="U155" s="9"/>
      <c r="V155" s="9"/>
      <c r="W155" s="9"/>
      <c r="X155" s="14"/>
      <c r="Y155" s="14"/>
      <c r="Z155" s="14"/>
      <c r="AA155" t="str">
        <f t="shared" si="4"/>
        <v>Pendiente</v>
      </c>
    </row>
    <row r="156" spans="1:27" ht="40.5" hidden="1">
      <c r="A156" s="11" t="s">
        <v>429</v>
      </c>
      <c r="B156" s="11" t="s">
        <v>895</v>
      </c>
      <c r="C156" s="11" t="s">
        <v>862</v>
      </c>
      <c r="D156" s="11" t="s">
        <v>863</v>
      </c>
      <c r="E156" s="11">
        <v>3</v>
      </c>
      <c r="F156" s="11" t="s">
        <v>890</v>
      </c>
      <c r="G156" s="11" t="s">
        <v>210</v>
      </c>
      <c r="H156" s="11" t="s">
        <v>89</v>
      </c>
      <c r="I156" s="11" t="s">
        <v>59</v>
      </c>
      <c r="J156" s="11" t="s">
        <v>59</v>
      </c>
      <c r="K156" s="11">
        <v>4</v>
      </c>
      <c r="L156" s="13" t="s">
        <v>896</v>
      </c>
      <c r="M156" s="13" t="s">
        <v>897</v>
      </c>
      <c r="N156" s="13" t="s">
        <v>898</v>
      </c>
      <c r="O156" s="12">
        <v>0</v>
      </c>
      <c r="P156" s="11"/>
      <c r="Q156" s="11"/>
      <c r="R156" s="11" t="s">
        <v>301</v>
      </c>
      <c r="S156" s="11" t="s">
        <v>195</v>
      </c>
      <c r="T156" s="9"/>
      <c r="U156" s="9"/>
      <c r="V156" s="9"/>
      <c r="W156" s="9"/>
      <c r="X156" s="14"/>
      <c r="Y156" s="14"/>
      <c r="Z156" s="14"/>
      <c r="AA156" t="str">
        <f t="shared" si="4"/>
        <v>Pendiente</v>
      </c>
    </row>
    <row r="157" spans="1:27" ht="40.5" hidden="1">
      <c r="A157" s="11" t="s">
        <v>429</v>
      </c>
      <c r="B157" s="11" t="s">
        <v>899</v>
      </c>
      <c r="C157" s="11" t="s">
        <v>862</v>
      </c>
      <c r="D157" s="11" t="s">
        <v>863</v>
      </c>
      <c r="E157" s="11">
        <v>4</v>
      </c>
      <c r="F157" s="11" t="s">
        <v>900</v>
      </c>
      <c r="G157" s="11" t="s">
        <v>901</v>
      </c>
      <c r="H157" s="11" t="s">
        <v>58</v>
      </c>
      <c r="I157" s="11" t="s">
        <v>60</v>
      </c>
      <c r="J157" s="11" t="s">
        <v>59</v>
      </c>
      <c r="K157" s="11">
        <v>6</v>
      </c>
      <c r="L157" s="13" t="s">
        <v>902</v>
      </c>
      <c r="M157" s="13" t="s">
        <v>903</v>
      </c>
      <c r="N157" s="13" t="s">
        <v>904</v>
      </c>
      <c r="O157" s="12">
        <v>0</v>
      </c>
      <c r="P157" s="11"/>
      <c r="Q157" s="11"/>
      <c r="R157" s="11" t="s">
        <v>301</v>
      </c>
      <c r="S157" s="11" t="s">
        <v>64</v>
      </c>
      <c r="T157" s="9"/>
      <c r="U157" s="9"/>
      <c r="V157" s="9"/>
      <c r="W157" s="9"/>
      <c r="X157" s="14"/>
      <c r="Y157" s="14"/>
      <c r="Z157" s="14"/>
      <c r="AA157" t="str">
        <f t="shared" si="4"/>
        <v>Pendiente</v>
      </c>
    </row>
  </sheetData>
  <conditionalFormatting sqref="T2:T157">
    <cfRule type="cellIs" dxfId="4" priority="1" operator="equal">
      <formula>1</formula>
    </cfRule>
    <cfRule type="cellIs" dxfId="3" priority="2" operator="equal">
      <formula>0</formula>
    </cfRule>
  </conditionalFormatting>
  <conditionalFormatting sqref="AA2:AA157">
    <cfRule type="containsText" dxfId="2" priority="3" operator="containsText" text="Pendiente"/>
    <cfRule type="containsText" dxfId="1" priority="4" operator="containsText" text="Válido"/>
    <cfRule type="containsText" dxfId="0" priority="5" operator="containsText" text="Falso positivo"/>
  </conditionalFormatting>
  <dataValidations count="2">
    <dataValidation type="list" sqref="W2:W157 T2:U157" xr:uid="{00000000-0002-0000-0100-000000000000}">
      <formula1>"0,1"</formula1>
    </dataValidation>
    <dataValidation type="list" sqref="V2:V157" xr:uid="{00000000-0002-0000-0100-000003000000}">
      <formula1>"HECHO_CONSUMADO,COMPROMISO_NORMAL,ACCION_CORRECTIVA,CONTEXTO_SIN_RIESGO,EVIDENCIA_INSUFICIENTE,INFERENCIA_EXCESIVA,DUPLICADO,OTRO"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showGridLines="0" workbookViewId="0"/>
  </sheetViews>
  <sheetFormatPr baseColWidth="10" defaultColWidth="9" defaultRowHeight="13.5"/>
  <cols>
    <col min="1" max="1" width="28" customWidth="1"/>
    <col min="2" max="2" width="85" customWidth="1"/>
  </cols>
  <sheetData>
    <row r="1" spans="1:2" ht="13.9">
      <c r="A1" s="1" t="s">
        <v>905</v>
      </c>
      <c r="B1" s="1" t="s">
        <v>906</v>
      </c>
    </row>
    <row r="2" spans="1:2">
      <c r="A2" s="2" t="s">
        <v>128</v>
      </c>
      <c r="B2" s="15" t="s">
        <v>907</v>
      </c>
    </row>
    <row r="3" spans="1:2">
      <c r="A3" s="4" t="s">
        <v>159</v>
      </c>
      <c r="B3" s="16" t="s">
        <v>908</v>
      </c>
    </row>
    <row r="4" spans="1:2">
      <c r="A4" s="4" t="s">
        <v>267</v>
      </c>
      <c r="B4" s="16" t="s">
        <v>909</v>
      </c>
    </row>
    <row r="5" spans="1:2">
      <c r="A5" s="4" t="s">
        <v>910</v>
      </c>
      <c r="B5" s="16" t="s">
        <v>911</v>
      </c>
    </row>
    <row r="6" spans="1:2">
      <c r="A6" s="4" t="s">
        <v>195</v>
      </c>
      <c r="B6" s="16" t="s">
        <v>912</v>
      </c>
    </row>
    <row r="7" spans="1:2">
      <c r="A7" s="4" t="s">
        <v>913</v>
      </c>
      <c r="B7" s="16" t="s">
        <v>914</v>
      </c>
    </row>
    <row r="8" spans="1:2">
      <c r="A8" s="4" t="s">
        <v>915</v>
      </c>
      <c r="B8" s="16" t="s">
        <v>916</v>
      </c>
    </row>
    <row r="9" spans="1:2">
      <c r="A9" s="6" t="s">
        <v>917</v>
      </c>
      <c r="B9" s="17" t="s">
        <v>918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showGridLines="0" workbookViewId="0"/>
  </sheetViews>
  <sheetFormatPr baseColWidth="10" defaultColWidth="9" defaultRowHeight="13.5"/>
  <cols>
    <col min="1" max="1" width="8" customWidth="1"/>
    <col min="2" max="2" width="31" customWidth="1"/>
    <col min="3" max="3" width="90" customWidth="1"/>
  </cols>
  <sheetData>
    <row r="1" spans="1:6" ht="22.5">
      <c r="A1" s="24" t="s">
        <v>919</v>
      </c>
      <c r="B1" s="24"/>
      <c r="C1" s="24"/>
      <c r="D1" s="24"/>
      <c r="E1" s="24"/>
      <c r="F1" s="24"/>
    </row>
    <row r="3" spans="1:6" ht="13.9">
      <c r="A3" s="1" t="s">
        <v>920</v>
      </c>
      <c r="B3" s="1" t="s">
        <v>921</v>
      </c>
      <c r="C3" s="1" t="s">
        <v>922</v>
      </c>
    </row>
    <row r="4" spans="1:6">
      <c r="A4" s="2" t="s">
        <v>923</v>
      </c>
      <c r="B4" s="18" t="s">
        <v>924</v>
      </c>
      <c r="C4" s="15" t="s">
        <v>925</v>
      </c>
    </row>
    <row r="5" spans="1:6">
      <c r="A5" s="4" t="s">
        <v>926</v>
      </c>
      <c r="B5" s="19" t="s">
        <v>927</v>
      </c>
      <c r="C5" s="16" t="s">
        <v>928</v>
      </c>
    </row>
    <row r="6" spans="1:6">
      <c r="A6" s="4" t="s">
        <v>929</v>
      </c>
      <c r="B6" s="19" t="s">
        <v>930</v>
      </c>
      <c r="C6" s="16" t="s">
        <v>931</v>
      </c>
    </row>
    <row r="7" spans="1:6">
      <c r="A7" s="4" t="s">
        <v>932</v>
      </c>
      <c r="B7" s="19" t="s">
        <v>933</v>
      </c>
      <c r="C7" s="16" t="s">
        <v>934</v>
      </c>
    </row>
    <row r="8" spans="1:6">
      <c r="A8" s="4" t="s">
        <v>935</v>
      </c>
      <c r="B8" s="19" t="s">
        <v>936</v>
      </c>
      <c r="C8" s="16" t="s">
        <v>937</v>
      </c>
    </row>
    <row r="9" spans="1:6">
      <c r="A9" s="4" t="s">
        <v>938</v>
      </c>
      <c r="B9" s="19" t="s">
        <v>939</v>
      </c>
      <c r="C9" s="16" t="s">
        <v>940</v>
      </c>
    </row>
    <row r="10" spans="1:6">
      <c r="A10" s="6" t="s">
        <v>941</v>
      </c>
      <c r="B10" s="20" t="s">
        <v>942</v>
      </c>
      <c r="C10" s="17" t="s">
        <v>943</v>
      </c>
    </row>
    <row r="12" spans="1:6">
      <c r="A12" s="25" t="s">
        <v>944</v>
      </c>
      <c r="B12" s="25"/>
      <c r="C12" s="25"/>
    </row>
    <row r="13" spans="1:6">
      <c r="A13" s="25"/>
      <c r="B13" s="25"/>
      <c r="C13" s="25"/>
    </row>
    <row r="14" spans="1:6">
      <c r="A14" s="25"/>
      <c r="B14" s="25"/>
      <c r="C14" s="25"/>
    </row>
  </sheetData>
  <mergeCells count="2">
    <mergeCell ref="A1:F1"/>
    <mergeCell ref="A12: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Revision</vt:lpstr>
      <vt:lpstr>Taxonomia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patricia patiño</cp:lastModifiedBy>
  <dcterms:modified xsi:type="dcterms:W3CDTF">2026-09-06T23:53:22Z</dcterms:modified>
</cp:coreProperties>
</file>